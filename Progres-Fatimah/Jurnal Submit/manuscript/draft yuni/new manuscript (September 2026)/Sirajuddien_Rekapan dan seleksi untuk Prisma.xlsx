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isertasi\PRA PROMOSI\PROMOTOR MEI 2025\File sistematik review\Rekapan Excel SR\File Final\"/>
    </mc:Choice>
  </mc:AlternateContent>
  <xr:revisionPtr revIDLastSave="0" documentId="13_ncr:1_{5FFA2FD1-E15F-4D5B-9387-7C585525F469}" xr6:coauthVersionLast="47" xr6:coauthVersionMax="47" xr10:uidLastSave="{00000000-0000-0000-0000-000000000000}"/>
  <bookViews>
    <workbookView xWindow="-120" yWindow="-120" windowWidth="20730" windowHeight="11160" activeTab="2" xr2:uid="{9E7C8083-FDD8-402A-88E1-65F16B706C47}"/>
  </bookViews>
  <sheets>
    <sheet name="Rekapan" sheetId="3" r:id="rId1"/>
    <sheet name="Eligibility" sheetId="2" r:id="rId2"/>
    <sheet name="Include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I9" i="3"/>
  <c r="J7" i="3"/>
  <c r="J8" i="3"/>
  <c r="J6" i="3"/>
  <c r="L9" i="3"/>
  <c r="K9" i="3"/>
  <c r="E9" i="3"/>
  <c r="D9" i="3"/>
  <c r="C9" i="3"/>
  <c r="H9" i="3"/>
  <c r="G9" i="3"/>
  <c r="F9" i="3"/>
  <c r="B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F7" authorId="0" shapeId="0" xr:uid="{1C4F0A67-DF59-43E2-B90E-42B4E0FE0322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tidak ada kesimpulan pada Christy Hui.
Jonathan Rabinowitz.
Laura E Grover. Danial</t>
        </r>
      </text>
    </comment>
    <comment ref="G7" authorId="0" shapeId="0" xr:uid="{EAF55FB3-039C-4267-9800-45D8F2C97E8B}">
      <text>
        <r>
          <rPr>
            <b/>
            <sz val="9"/>
            <color indexed="81"/>
            <rFont val="Tahoma"/>
            <family val="2"/>
          </rPr>
          <t xml:space="preserve">Acer: </t>
        </r>
        <r>
          <rPr>
            <sz val="9"/>
            <color indexed="81"/>
            <rFont val="Tahoma"/>
            <family val="2"/>
          </rPr>
          <t xml:space="preserve">
 tidak ada kesimpulan : Yiluli, daniel Kamp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M3" authorId="0" shapeId="0" xr:uid="{62A852DD-A2F5-444D-905D-3D969D7F8F6A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bukan full text</t>
        </r>
      </text>
    </comment>
    <comment ref="T3" authorId="0" shapeId="0" xr:uid="{7BA32CC7-2D08-4470-8CA3-84F2CD909FE7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judul dan author sama</t>
        </r>
      </text>
    </comment>
    <comment ref="I5" authorId="0" shapeId="0" xr:uid="{E4EBEBEC-0FD6-4C6F-9075-D1AE0799D653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No include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M3" authorId="0" shapeId="0" xr:uid="{6885D813-E07B-44C9-8BD1-3FDF47BDB0D2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bukan full text</t>
        </r>
      </text>
    </comment>
  </commentList>
</comments>
</file>

<file path=xl/sharedStrings.xml><?xml version="1.0" encoding="utf-8"?>
<sst xmlns="http://schemas.openxmlformats.org/spreadsheetml/2006/main" count="90" uniqueCount="56">
  <si>
    <t>Pubmed</t>
  </si>
  <si>
    <t>ScienceDirect</t>
  </si>
  <si>
    <t>JUMLAH</t>
  </si>
  <si>
    <t>science direct</t>
  </si>
  <si>
    <t>Status pernikahan</t>
  </si>
  <si>
    <t>Tingkat pendidikan</t>
  </si>
  <si>
    <t>Pendapatan</t>
  </si>
  <si>
    <t>Google</t>
  </si>
  <si>
    <t>umur</t>
  </si>
  <si>
    <t>JK</t>
  </si>
  <si>
    <t xml:space="preserve">pekerjaan </t>
  </si>
  <si>
    <t>jenis kelamin</t>
  </si>
  <si>
    <t>google</t>
  </si>
  <si>
    <t>Gender differences in quality of life and the course of schizophrenia: national study . Keterangan : judul dan author sama</t>
  </si>
  <si>
    <t>Screening</t>
  </si>
  <si>
    <t>Identification</t>
  </si>
  <si>
    <t>pekerjaan</t>
  </si>
  <si>
    <t>Sex differences and age of onset in well-being and recovery in people with psychotic disorders. A PHAMOUS study</t>
  </si>
  <si>
    <t>Childhood family environment predicting psychotic disorders over a 37-year follow-up – A general population cohort study</t>
  </si>
  <si>
    <t>Eligibility</t>
  </si>
  <si>
    <t>Include</t>
  </si>
  <si>
    <t>Literatur yang relevan berdasarkan judul dan abstrak</t>
  </si>
  <si>
    <r>
      <t xml:space="preserve">Health related quality of life among people with mental illness: The role of socioclinical characteristics and level of functional disability                       </t>
    </r>
    <r>
      <rPr>
        <sz val="11"/>
        <rFont val="Calibri"/>
        <family val="2"/>
        <scheme val="minor"/>
      </rPr>
      <t>( Semira Defar, et al. 2023.)</t>
    </r>
  </si>
  <si>
    <r>
      <t xml:space="preserve">Quality of life in patients with schizophrenia: A 2-year cohort study in primary mental health care in rural China                              </t>
    </r>
    <r>
      <rPr>
        <sz val="12"/>
        <rFont val="Times New Roman"/>
        <family val="1"/>
      </rPr>
      <t>(Xiao-Yan He, et al. 2022).</t>
    </r>
  </si>
  <si>
    <r>
      <rPr>
        <sz val="12"/>
        <color rgb="FF0070C0"/>
        <rFont val="Times New Roman"/>
        <family val="1"/>
      </rPr>
      <t>Family support and quality of life of schizophrenia patients</t>
    </r>
    <r>
      <rPr>
        <sz val="12"/>
        <color theme="1"/>
        <rFont val="Times New Roman"/>
        <family val="1"/>
      </rPr>
      <t xml:space="preserve">                  ( Made Setiawati dkk. 2021).</t>
    </r>
  </si>
  <si>
    <r>
      <t xml:space="preserve">Low income and schizophrenia risk: A narrative review                  </t>
    </r>
    <r>
      <rPr>
        <sz val="12"/>
        <rFont val="Times New Roman"/>
        <family val="1"/>
      </rPr>
      <t>(Miriam Schneider et al. 2022).</t>
    </r>
  </si>
  <si>
    <r>
      <rPr>
        <b/>
        <sz val="11"/>
        <color theme="4"/>
        <rFont val="Georgia"/>
        <family val="1"/>
      </rPr>
      <t xml:space="preserve">Mindfulness-Based Interventions for the Occurrence of Postpartum Depression in Elderly Primiparas </t>
    </r>
    <r>
      <rPr>
        <b/>
        <sz val="11"/>
        <color rgb="FF212121"/>
        <rFont val="Georgia"/>
        <family val="1"/>
      </rPr>
      <t xml:space="preserve">                              (Rui Mei 2022)</t>
    </r>
  </si>
  <si>
    <r>
      <rPr>
        <b/>
        <sz val="11"/>
        <color theme="4"/>
        <rFont val="Georgia"/>
        <family val="1"/>
      </rPr>
      <t xml:space="preserve">Mindfulness-Based Interventions for the Occurrence of Postpartum Depression in Elderly Primiparas   </t>
    </r>
    <r>
      <rPr>
        <b/>
        <sz val="11"/>
        <color rgb="FF212121"/>
        <rFont val="Georgia"/>
        <family val="1"/>
      </rPr>
      <t xml:space="preserve">                            (Rui Mei 2022)</t>
    </r>
  </si>
  <si>
    <r>
      <rPr>
        <b/>
        <sz val="11"/>
        <color theme="4"/>
        <rFont val="Georgia"/>
        <family val="1"/>
      </rPr>
      <t xml:space="preserve">Mindfulness-Based Interventions for the Occurrence of Postpartum Depression in Elderly Primiparas  </t>
    </r>
    <r>
      <rPr>
        <b/>
        <sz val="11"/>
        <color rgb="FF212121"/>
        <rFont val="Georgia"/>
        <family val="1"/>
      </rPr>
      <t xml:space="preserve">                              (Rui Mei 2022)</t>
    </r>
  </si>
  <si>
    <r>
      <rPr>
        <b/>
        <sz val="11"/>
        <color theme="4"/>
        <rFont val="Georgia"/>
        <family val="1"/>
      </rPr>
      <t xml:space="preserve">Mindfulness-Based Interventions for the Occurrence of Postpartum Depression in Elderly Primiparas  </t>
    </r>
    <r>
      <rPr>
        <b/>
        <sz val="11"/>
        <color rgb="FF212121"/>
        <rFont val="Georgia"/>
        <family val="1"/>
      </rPr>
      <t xml:space="preserve">                             (Rui Mei 2022)</t>
    </r>
  </si>
  <si>
    <r>
      <rPr>
        <b/>
        <sz val="11"/>
        <color theme="4"/>
        <rFont val="Georgia"/>
        <family val="1"/>
      </rPr>
      <t xml:space="preserve">Mindfulness-Based Interventions for the Occurrence of Postpartum Depression in Elderly Primiparas   </t>
    </r>
    <r>
      <rPr>
        <b/>
        <sz val="11"/>
        <color rgb="FF212121"/>
        <rFont val="Georgia"/>
        <family val="1"/>
      </rPr>
      <t xml:space="preserve">                             (Rui Mei 2022)</t>
    </r>
  </si>
  <si>
    <r>
      <rPr>
        <sz val="11"/>
        <color theme="4"/>
        <rFont val="Calibri"/>
        <family val="2"/>
        <scheme val="minor"/>
      </rPr>
      <t xml:space="preserve">Assessment of sexual dysfunction and associated factors among patients with schizophrenia in Ethiopia, 2017  </t>
    </r>
    <r>
      <rPr>
        <sz val="11"/>
        <color theme="1"/>
        <rFont val="Calibri"/>
        <family val="2"/>
        <scheme val="minor"/>
      </rPr>
      <t xml:space="preserve">                                      (Tolesa Fanta 2017).</t>
    </r>
  </si>
  <si>
    <t>Functioning, clinical severity, education and sex moderate the inverse relationship between insight and quality of life in patients with schizophrenia                      (Guillaume Barbalat 2024)</t>
  </si>
  <si>
    <t>Functioning, clinical severity, education and sex moderate the inverse relationship between insight and quality of life in patients with schizophrenia                                  (Guillaume Barbalat 2024)</t>
  </si>
  <si>
    <t>Gender difference in quality of life (QoL) among outpatients with schizophrenia in a tertiary care setting         (Saleha Shafie 2021)</t>
  </si>
  <si>
    <r>
      <t xml:space="preserve">The relationships between sociodemographic, psychosocial and clinical variables with personal-stigma in patients diagnosed with schizophrenia                      </t>
    </r>
    <r>
      <rPr>
        <b/>
        <sz val="11"/>
        <rFont val="Georgia"/>
        <family val="1"/>
      </rPr>
      <t xml:space="preserve">( Blanca Reneses 2020). </t>
    </r>
  </si>
  <si>
    <r>
      <rPr>
        <b/>
        <sz val="11"/>
        <color theme="4"/>
        <rFont val="Georgia"/>
        <family val="1"/>
      </rPr>
      <t>The relationships between sociodemographic, psychosocial and clinical variables with personal-stigma in patients diagnosed with schizophrenia</t>
    </r>
    <r>
      <rPr>
        <b/>
        <sz val="11"/>
        <color rgb="FF212121"/>
        <rFont val="Georgia"/>
        <family val="1"/>
      </rPr>
      <t xml:space="preserve">                                 ( Blanca Reneses 2020). </t>
    </r>
  </si>
  <si>
    <t>Differences in subjective quality of life of people with a schizophrenia diagnosis between participants in Occupational Therapy Workshops and those working in a Sheltered Employment Establishment                                                                     ( Łukasz Cichocki 2019)</t>
  </si>
  <si>
    <t>Relationship between demographic factors quality of life of patients with schizophrenia                                                 (Dimas Rachmat Budi Prasetyo)</t>
  </si>
  <si>
    <t>Gender difference in quality of life (QoL) among outpatients with schizophrenia in a tertiary care setting                               (Saleha Shafie 2021)</t>
  </si>
  <si>
    <t>pendidikan</t>
  </si>
  <si>
    <t xml:space="preserve">pendapatan </t>
  </si>
  <si>
    <t>Tabel Rekapan Systematic Review Faktor yang Berhubungan Dengan Kualitas Hidup Orang Dengan Skizofrenia (ODS)</t>
  </si>
  <si>
    <t>The relationship between psychopathology, occupational balance, and quality of life among people with schizophrenia                                      (Selma Ercan Doğu 2023)                             ( Judul dan author sama)</t>
  </si>
  <si>
    <t>Subjective quality of life and schizophrenia:
results from a large cohort study based
in Chinese primary care (Saleha Shafie 2021)</t>
  </si>
  <si>
    <t>Family support and quality of life of schizophrenia patients                  ( Made Setiawati dkk. 2021).</t>
  </si>
  <si>
    <t>Jumlah</t>
  </si>
  <si>
    <t>Dukungan keluarga</t>
  </si>
  <si>
    <t>Family support and adaptation mechanisms of adults outpatients with schizophrenia (wiwik widiyawati (2020)</t>
  </si>
  <si>
    <t>Dukungan Keluarga</t>
  </si>
  <si>
    <t>Correlation Analysis of the Quality of Family Functioning and Subjective Quality of Life in Rehabilitation Patients Living with Schizophrenia in the Community (Ling wang. 2020)</t>
  </si>
  <si>
    <t>Relationship Between Quality of Life and Social Support
Among Patients with Schizophrenia and Bipolar Disorder:
A Cross-Sectional Study (Sayujya Prabhakaran, 2021)</t>
  </si>
  <si>
    <t>Relation Social Support and Psychological Well-Being among Schizophrenic Patients: Self-Care as Mediation variable? (Latipun , 2018)</t>
  </si>
  <si>
    <t>Dukungan keluarga dengan kemandirian orang dengan gangguan jiwa (ODGJ) (Khamida et al., 2019)</t>
  </si>
  <si>
    <t xml:space="preserve"> Quality of life in schizophrenic patients: the influence 
of sociodemographic and clinical characteristics and 
satisfaction with social support (Lara Manuela Guedes de Pinho,2018)</t>
  </si>
  <si>
    <t>Determinantsofqualityoflifeamongpeoplediagnosed
 withschizophreniaatoutpatientclinics (Hasan, 2017).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</si>
</sst>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rgb="FF212121"/>
      <name val="Times New Roman"/>
      <family val="1"/>
    </font>
    <font>
      <sz val="11"/>
      <name val="Calibri"/>
      <family val="2"/>
      <scheme val="minor"/>
    </font>
    <font>
      <sz val="12"/>
      <color rgb="FF1F1F1F"/>
      <name val="Times New Roman"/>
      <family val="1"/>
    </font>
    <font>
      <sz val="12"/>
      <color rgb="FF333333"/>
      <name val="Noto Sans"/>
      <family val="2"/>
    </font>
    <font>
      <sz val="12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rgb="FF212121"/>
      <name val="Georgia"/>
      <family val="1"/>
    </font>
    <font>
      <sz val="11"/>
      <color rgb="FF212121"/>
      <name val="Georgia"/>
      <family val="1"/>
    </font>
    <font>
      <sz val="11"/>
      <color rgb="FFFF0000"/>
      <name val="Georgia"/>
      <family val="1"/>
    </font>
    <font>
      <sz val="12"/>
      <color rgb="FFFF0000"/>
      <name val="Noto Sans"/>
      <family val="2"/>
    </font>
    <font>
      <sz val="12"/>
      <color theme="1"/>
      <name val="Times New Roman"/>
      <family val="1"/>
    </font>
    <font>
      <b/>
      <sz val="20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rgb="FF0070C0"/>
      <name val="Times New Roman"/>
      <family val="1"/>
    </font>
    <font>
      <b/>
      <sz val="11"/>
      <color rgb="FF0070C0"/>
      <name val="Georgia"/>
      <family val="1"/>
    </font>
    <font>
      <b/>
      <sz val="11"/>
      <name val="Georgia"/>
      <family val="1"/>
    </font>
    <font>
      <b/>
      <sz val="11"/>
      <color theme="4"/>
      <name val="Georgia"/>
      <family val="1"/>
    </font>
    <font>
      <sz val="11"/>
      <color theme="4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2"/>
      <color rgb="FF7030A0"/>
      <name val="Times New Roman"/>
      <family val="1"/>
    </font>
    <font>
      <sz val="11"/>
      <color rgb="FF7030A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1"/>
      <color rgb="FF0070C0"/>
      <name val="Georgia"/>
      <family val="1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 vertical="center" wrapText="1"/>
    </xf>
    <xf numFmtId="0" fontId="4" fillId="0" borderId="0" xfId="0" applyFont="1"/>
    <xf numFmtId="0" fontId="6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/>
    <xf numFmtId="0" fontId="8" fillId="0" borderId="0" xfId="0" applyFont="1"/>
    <xf numFmtId="0" fontId="15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7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/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/>
    <xf numFmtId="0" fontId="4" fillId="0" borderId="1" xfId="0" applyFont="1" applyBorder="1"/>
    <xf numFmtId="0" fontId="0" fillId="0" borderId="1" xfId="0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0" borderId="0" xfId="0" applyFont="1" applyAlignment="1">
      <alignment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wrapText="1"/>
    </xf>
    <xf numFmtId="0" fontId="0" fillId="0" borderId="0" xfId="0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6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center" vertical="center" wrapText="1"/>
    </xf>
    <xf numFmtId="0" fontId="0" fillId="7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8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BD5FF-54ED-49C1-A20A-F76622C248E2}">
  <dimension ref="A2:L9"/>
  <sheetViews>
    <sheetView topLeftCell="G1" workbookViewId="0">
      <selection activeCell="I11" sqref="I11"/>
    </sheetView>
  </sheetViews>
  <sheetFormatPr defaultRowHeight="15" x14ac:dyDescent="0.25"/>
  <cols>
    <col min="1" max="1" width="19.7109375" customWidth="1"/>
    <col min="2" max="2" width="14.140625" customWidth="1"/>
    <col min="5" max="5" width="12" customWidth="1"/>
    <col min="6" max="6" width="17.28515625" customWidth="1"/>
    <col min="7" max="7" width="14.28515625" customWidth="1"/>
    <col min="8" max="8" width="13.7109375" customWidth="1"/>
    <col min="9" max="9" width="18.85546875" customWidth="1"/>
    <col min="10" max="10" width="10.42578125" customWidth="1"/>
    <col min="11" max="11" width="11.85546875" customWidth="1"/>
    <col min="12" max="12" width="16.140625" customWidth="1"/>
  </cols>
  <sheetData>
    <row r="2" spans="1:12" x14ac:dyDescent="0.25">
      <c r="A2" s="37" t="s">
        <v>42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spans="1:12" x14ac:dyDescent="0.25">
      <c r="A3" s="23"/>
      <c r="B3" s="23"/>
      <c r="C3" s="23"/>
      <c r="D3" s="23"/>
      <c r="E3" s="23"/>
      <c r="F3" s="23"/>
      <c r="G3" s="23"/>
      <c r="H3" s="23"/>
      <c r="I3" s="34"/>
      <c r="J3" s="23"/>
      <c r="K3" s="23"/>
      <c r="L3" s="23"/>
    </row>
    <row r="4" spans="1:12" ht="33" customHeight="1" x14ac:dyDescent="0.25">
      <c r="A4" s="24"/>
      <c r="B4" s="25" t="s">
        <v>15</v>
      </c>
      <c r="C4" s="38" t="s">
        <v>14</v>
      </c>
      <c r="D4" s="39"/>
      <c r="E4" s="39"/>
      <c r="F4" s="39"/>
      <c r="G4" s="39"/>
      <c r="H4" s="39"/>
      <c r="I4" s="39"/>
      <c r="J4" s="40"/>
      <c r="K4" s="26" t="s">
        <v>19</v>
      </c>
      <c r="L4" s="26" t="s">
        <v>20</v>
      </c>
    </row>
    <row r="5" spans="1:12" x14ac:dyDescent="0.25">
      <c r="A5" s="24"/>
      <c r="B5" s="25"/>
      <c r="C5" s="25" t="s">
        <v>8</v>
      </c>
      <c r="D5" s="25" t="s">
        <v>9</v>
      </c>
      <c r="E5" s="25" t="s">
        <v>10</v>
      </c>
      <c r="F5" s="24" t="s">
        <v>4</v>
      </c>
      <c r="G5" s="24" t="s">
        <v>40</v>
      </c>
      <c r="H5" s="24" t="s">
        <v>41</v>
      </c>
      <c r="I5" s="24" t="s">
        <v>49</v>
      </c>
      <c r="J5" s="24" t="s">
        <v>46</v>
      </c>
      <c r="K5" s="24"/>
      <c r="L5" s="24"/>
    </row>
    <row r="6" spans="1:12" x14ac:dyDescent="0.25">
      <c r="A6" s="24" t="s">
        <v>0</v>
      </c>
      <c r="B6" s="25">
        <v>4052</v>
      </c>
      <c r="C6" s="25">
        <v>52</v>
      </c>
      <c r="D6" s="25">
        <v>21</v>
      </c>
      <c r="E6" s="25">
        <v>17</v>
      </c>
      <c r="F6" s="24">
        <v>10</v>
      </c>
      <c r="G6" s="24">
        <v>20</v>
      </c>
      <c r="H6" s="24">
        <v>20</v>
      </c>
      <c r="I6" s="25">
        <v>20</v>
      </c>
      <c r="J6" s="25">
        <f>SUM(C6:I6)</f>
        <v>160</v>
      </c>
      <c r="K6" s="25">
        <v>22</v>
      </c>
      <c r="L6" s="24">
        <v>10</v>
      </c>
    </row>
    <row r="7" spans="1:12" x14ac:dyDescent="0.25">
      <c r="A7" s="24" t="s">
        <v>1</v>
      </c>
      <c r="B7" s="25">
        <v>28638</v>
      </c>
      <c r="C7" s="25">
        <v>70</v>
      </c>
      <c r="D7" s="25">
        <v>49</v>
      </c>
      <c r="E7" s="25">
        <v>6</v>
      </c>
      <c r="F7" s="24">
        <v>14</v>
      </c>
      <c r="G7" s="24">
        <v>66</v>
      </c>
      <c r="H7" s="24">
        <v>15</v>
      </c>
      <c r="I7" s="25">
        <v>1</v>
      </c>
      <c r="J7" s="25">
        <f t="shared" ref="J7:J8" si="0">SUM(C7:I7)</f>
        <v>221</v>
      </c>
      <c r="K7" s="25">
        <v>5</v>
      </c>
      <c r="L7" s="24">
        <v>2</v>
      </c>
    </row>
    <row r="8" spans="1:12" x14ac:dyDescent="0.25">
      <c r="A8" s="24" t="s">
        <v>7</v>
      </c>
      <c r="B8" s="25">
        <v>8</v>
      </c>
      <c r="C8" s="25">
        <v>0</v>
      </c>
      <c r="D8" s="25">
        <v>2</v>
      </c>
      <c r="E8" s="25">
        <v>0</v>
      </c>
      <c r="F8" s="24">
        <v>1</v>
      </c>
      <c r="G8" s="24">
        <v>0</v>
      </c>
      <c r="H8" s="24">
        <v>1</v>
      </c>
      <c r="I8" s="25">
        <v>4</v>
      </c>
      <c r="J8" s="25">
        <f t="shared" si="0"/>
        <v>8</v>
      </c>
      <c r="K8" s="25">
        <v>8</v>
      </c>
      <c r="L8" s="24">
        <v>4</v>
      </c>
    </row>
    <row r="9" spans="1:12" x14ac:dyDescent="0.25">
      <c r="A9" s="24" t="s">
        <v>2</v>
      </c>
      <c r="B9" s="24">
        <f t="shared" ref="B9:J9" si="1">SUM(B6:B8)</f>
        <v>32698</v>
      </c>
      <c r="C9" s="24">
        <f t="shared" si="1"/>
        <v>122</v>
      </c>
      <c r="D9" s="24">
        <f t="shared" si="1"/>
        <v>72</v>
      </c>
      <c r="E9" s="24">
        <f t="shared" si="1"/>
        <v>23</v>
      </c>
      <c r="F9" s="24">
        <f t="shared" si="1"/>
        <v>25</v>
      </c>
      <c r="G9" s="24">
        <f t="shared" si="1"/>
        <v>86</v>
      </c>
      <c r="H9" s="24">
        <f t="shared" si="1"/>
        <v>36</v>
      </c>
      <c r="I9" s="24">
        <f t="shared" si="1"/>
        <v>25</v>
      </c>
      <c r="J9" s="24">
        <f t="shared" si="1"/>
        <v>389</v>
      </c>
      <c r="K9" s="24">
        <f>SUM(K6:K8)</f>
        <v>35</v>
      </c>
      <c r="L9" s="24">
        <f>SUM(L6:L8)</f>
        <v>16</v>
      </c>
    </row>
  </sheetData>
  <mergeCells count="2">
    <mergeCell ref="A2:L2"/>
    <mergeCell ref="C4:J4"/>
  </mergeCells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54B09-CDC3-4DB5-8DFE-F8D1C79ECA55}">
  <dimension ref="A1:AB5"/>
  <sheetViews>
    <sheetView topLeftCell="D1" zoomScale="59" workbookViewId="0">
      <selection activeCell="G3" sqref="G3"/>
    </sheetView>
  </sheetViews>
  <sheetFormatPr defaultRowHeight="15" x14ac:dyDescent="0.25"/>
  <cols>
    <col min="1" max="1" width="16.5703125" customWidth="1"/>
    <col min="2" max="4" width="36.42578125" customWidth="1"/>
    <col min="5" max="8" width="36.85546875" customWidth="1"/>
    <col min="9" max="9" width="37" customWidth="1"/>
    <col min="10" max="10" width="29.42578125" customWidth="1"/>
    <col min="11" max="11" width="35.42578125" customWidth="1"/>
    <col min="12" max="12" width="36.5703125" customWidth="1"/>
    <col min="13" max="16" width="37.7109375" customWidth="1"/>
    <col min="17" max="17" width="39" customWidth="1"/>
    <col min="18" max="19" width="33.5703125" customWidth="1"/>
    <col min="20" max="21" width="39.85546875" customWidth="1"/>
    <col min="22" max="22" width="44" customWidth="1"/>
    <col min="23" max="23" width="25.140625" customWidth="1"/>
    <col min="24" max="24" width="26.5703125" customWidth="1"/>
    <col min="25" max="25" width="39.85546875" customWidth="1"/>
    <col min="26" max="26" width="40.5703125" customWidth="1"/>
    <col min="27" max="27" width="40.42578125" customWidth="1"/>
    <col min="28" max="28" width="51" customWidth="1"/>
  </cols>
  <sheetData>
    <row r="1" spans="1:28" ht="47.25" customHeight="1" x14ac:dyDescent="0.4">
      <c r="A1" s="9" t="s">
        <v>21</v>
      </c>
      <c r="B1" s="9"/>
      <c r="C1" s="10"/>
    </row>
    <row r="2" spans="1:28" x14ac:dyDescent="0.25">
      <c r="B2" s="43" t="s">
        <v>4</v>
      </c>
      <c r="C2" s="43"/>
      <c r="D2" s="43"/>
      <c r="E2" s="43"/>
      <c r="F2" s="43"/>
      <c r="G2" s="47" t="s">
        <v>5</v>
      </c>
      <c r="H2" s="47"/>
      <c r="I2" s="47"/>
      <c r="J2" s="47"/>
      <c r="K2" s="48" t="s">
        <v>6</v>
      </c>
      <c r="L2" s="48"/>
      <c r="M2" s="45" t="s">
        <v>11</v>
      </c>
      <c r="N2" s="45"/>
      <c r="O2" s="45"/>
      <c r="P2" s="45"/>
      <c r="Q2" s="45"/>
      <c r="R2" s="49" t="s">
        <v>8</v>
      </c>
      <c r="S2" s="49"/>
      <c r="T2" s="46" t="s">
        <v>16</v>
      </c>
      <c r="U2" s="46"/>
      <c r="V2" s="46"/>
      <c r="W2" s="50" t="s">
        <v>47</v>
      </c>
      <c r="X2" s="50"/>
      <c r="Y2" s="50"/>
      <c r="Z2" s="50"/>
      <c r="AA2" s="50"/>
      <c r="AB2" s="50"/>
    </row>
    <row r="3" spans="1:28" ht="121.5" customHeight="1" x14ac:dyDescent="0.25">
      <c r="A3" t="s">
        <v>0</v>
      </c>
      <c r="B3" s="4"/>
      <c r="C3" s="16" t="s">
        <v>26</v>
      </c>
      <c r="D3" s="13" t="s">
        <v>23</v>
      </c>
      <c r="E3" s="11" t="s">
        <v>22</v>
      </c>
      <c r="F3" s="1" t="s">
        <v>31</v>
      </c>
      <c r="G3" s="14" t="s">
        <v>35</v>
      </c>
      <c r="H3" s="16" t="s">
        <v>27</v>
      </c>
      <c r="I3" s="17" t="s">
        <v>32</v>
      </c>
      <c r="J3" s="16" t="s">
        <v>26</v>
      </c>
      <c r="K3" s="16" t="s">
        <v>30</v>
      </c>
      <c r="L3" s="13" t="s">
        <v>25</v>
      </c>
      <c r="M3" s="19" t="s">
        <v>32</v>
      </c>
      <c r="N3" s="16" t="s">
        <v>28</v>
      </c>
      <c r="O3" s="16" t="s">
        <v>36</v>
      </c>
      <c r="P3" s="18" t="s">
        <v>33</v>
      </c>
      <c r="Q3" s="17" t="s">
        <v>34</v>
      </c>
      <c r="R3" s="16" t="s">
        <v>29</v>
      </c>
      <c r="S3" s="16"/>
      <c r="T3" s="12" t="s">
        <v>43</v>
      </c>
      <c r="U3" s="21" t="s">
        <v>37</v>
      </c>
      <c r="W3" s="35" t="s">
        <v>48</v>
      </c>
      <c r="X3" s="35" t="s">
        <v>50</v>
      </c>
      <c r="Y3" s="36" t="s">
        <v>54</v>
      </c>
      <c r="Z3" s="36" t="s">
        <v>55</v>
      </c>
      <c r="AA3" s="36"/>
      <c r="AB3" s="2"/>
    </row>
    <row r="4" spans="1:28" ht="123.75" customHeight="1" x14ac:dyDescent="0.25">
      <c r="A4" s="2" t="s">
        <v>3</v>
      </c>
      <c r="I4" s="5" t="s">
        <v>18</v>
      </c>
      <c r="N4" s="5" t="s">
        <v>18</v>
      </c>
      <c r="P4" s="5" t="s">
        <v>17</v>
      </c>
      <c r="Q4" s="5"/>
      <c r="R4" s="5" t="s">
        <v>18</v>
      </c>
      <c r="S4" s="5" t="s">
        <v>17</v>
      </c>
      <c r="W4" s="2"/>
      <c r="X4" s="2"/>
      <c r="Y4" s="2"/>
      <c r="Z4" s="2"/>
      <c r="AA4" s="2"/>
      <c r="AB4" s="2"/>
    </row>
    <row r="5" spans="1:28" ht="102.75" customHeight="1" x14ac:dyDescent="0.25">
      <c r="A5" s="2" t="s">
        <v>12</v>
      </c>
      <c r="B5" s="8" t="s">
        <v>24</v>
      </c>
      <c r="I5" s="6" t="s">
        <v>38</v>
      </c>
      <c r="M5" s="7" t="s">
        <v>13</v>
      </c>
      <c r="N5" s="3"/>
      <c r="O5" s="3"/>
      <c r="P5" s="3"/>
      <c r="Q5" s="15" t="s">
        <v>39</v>
      </c>
      <c r="W5" s="2"/>
      <c r="X5" s="2"/>
      <c r="Y5" s="35" t="s">
        <v>45</v>
      </c>
      <c r="Z5" s="35" t="s">
        <v>51</v>
      </c>
      <c r="AA5" s="35" t="s">
        <v>52</v>
      </c>
      <c r="AB5" s="35" t="s">
        <v>53</v>
      </c>
    </row>
  </sheetData>
  <mergeCells count="7">
    <mergeCell ref="W2:AB2"/>
    <mergeCell ref="T2:V2"/>
    <mergeCell ref="B2:F2"/>
    <mergeCell ref="K2:L2"/>
    <mergeCell ref="G2:J2"/>
    <mergeCell ref="M2:Q2"/>
    <mergeCell ref="R2:S2"/>
  </mergeCells>
  <pageMargins left="0.7" right="0.7" top="0.75" bottom="0.75" header="0.3" footer="0.3"/>
  <pageSetup paperSize="9" orientation="portrait" horizontalDpi="0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8B737-AB53-478C-9807-430C499FD630}">
  <dimension ref="A1:AB5"/>
  <sheetViews>
    <sheetView tabSelected="1" topLeftCell="T1" zoomScale="62" workbookViewId="0">
      <selection activeCell="W5" sqref="W5"/>
    </sheetView>
  </sheetViews>
  <sheetFormatPr defaultRowHeight="15" x14ac:dyDescent="0.25"/>
  <cols>
    <col min="1" max="1" width="16.5703125" customWidth="1"/>
    <col min="2" max="4" width="36.42578125" customWidth="1"/>
    <col min="5" max="8" width="36.85546875" customWidth="1"/>
    <col min="9" max="9" width="37" customWidth="1"/>
    <col min="10" max="10" width="29.42578125" customWidth="1"/>
    <col min="11" max="11" width="35.42578125" customWidth="1"/>
    <col min="12" max="12" width="36.5703125" customWidth="1"/>
    <col min="13" max="16" width="37.7109375" customWidth="1"/>
    <col min="17" max="17" width="39" customWidth="1"/>
    <col min="18" max="19" width="33.5703125" customWidth="1"/>
    <col min="20" max="21" width="39.85546875" customWidth="1"/>
    <col min="22" max="22" width="44" customWidth="1"/>
    <col min="23" max="23" width="22.5703125" customWidth="1"/>
    <col min="24" max="24" width="27.85546875" customWidth="1"/>
    <col min="25" max="25" width="24.5703125" customWidth="1"/>
    <col min="26" max="26" width="36.42578125" customWidth="1"/>
    <col min="27" max="27" width="30.140625" customWidth="1"/>
    <col min="28" max="28" width="19.85546875" customWidth="1"/>
  </cols>
  <sheetData>
    <row r="1" spans="1:28" ht="47.25" customHeight="1" x14ac:dyDescent="0.4">
      <c r="A1" s="9" t="s">
        <v>21</v>
      </c>
      <c r="B1" s="9"/>
      <c r="C1" s="10"/>
    </row>
    <row r="2" spans="1:28" x14ac:dyDescent="0.25">
      <c r="B2" s="43" t="s">
        <v>4</v>
      </c>
      <c r="C2" s="43"/>
      <c r="D2" s="43"/>
      <c r="E2" s="43"/>
      <c r="F2" s="43"/>
      <c r="G2" s="44" t="s">
        <v>5</v>
      </c>
      <c r="H2" s="44"/>
      <c r="I2" s="44"/>
      <c r="J2" s="44"/>
      <c r="K2" s="45" t="s">
        <v>6</v>
      </c>
      <c r="L2" s="45"/>
      <c r="M2" s="46" t="s">
        <v>11</v>
      </c>
      <c r="N2" s="46"/>
      <c r="O2" s="46"/>
      <c r="P2" s="46"/>
      <c r="Q2" s="46"/>
      <c r="R2" s="45" t="s">
        <v>8</v>
      </c>
      <c r="S2" s="45"/>
      <c r="T2" s="42" t="s">
        <v>16</v>
      </c>
      <c r="U2" s="42"/>
      <c r="V2" s="20"/>
      <c r="W2" s="41" t="s">
        <v>49</v>
      </c>
      <c r="X2" s="41"/>
      <c r="Y2" s="41"/>
      <c r="Z2" s="41"/>
      <c r="AA2" s="41"/>
    </row>
    <row r="3" spans="1:28" ht="121.5" customHeight="1" x14ac:dyDescent="0.25">
      <c r="A3" t="s">
        <v>0</v>
      </c>
      <c r="B3" s="4"/>
      <c r="C3" s="16" t="s">
        <v>26</v>
      </c>
      <c r="D3" s="13" t="s">
        <v>23</v>
      </c>
      <c r="E3" s="11" t="s">
        <v>22</v>
      </c>
      <c r="F3" s="22" t="s">
        <v>31</v>
      </c>
      <c r="G3" s="14"/>
      <c r="H3" s="16" t="s">
        <v>27</v>
      </c>
      <c r="I3" s="17"/>
      <c r="J3" s="16"/>
      <c r="K3" s="16" t="s">
        <v>30</v>
      </c>
      <c r="L3" s="13"/>
      <c r="M3" s="19"/>
      <c r="N3" s="16" t="s">
        <v>28</v>
      </c>
      <c r="O3" s="16"/>
      <c r="P3" s="18"/>
      <c r="Q3" s="17"/>
      <c r="R3" s="16"/>
      <c r="S3" s="30" t="s">
        <v>44</v>
      </c>
      <c r="T3" s="12"/>
      <c r="U3" s="31" t="s">
        <v>37</v>
      </c>
      <c r="W3" s="32"/>
      <c r="X3" s="11" t="s">
        <v>50</v>
      </c>
      <c r="Y3" s="33"/>
      <c r="Z3" s="33"/>
      <c r="AA3" s="33"/>
    </row>
    <row r="4" spans="1:28" ht="85.5" customHeight="1" x14ac:dyDescent="0.25">
      <c r="A4" s="2" t="s">
        <v>3</v>
      </c>
      <c r="I4" s="5"/>
      <c r="N4" s="5"/>
      <c r="P4" s="27" t="s">
        <v>17</v>
      </c>
      <c r="Q4" s="5"/>
      <c r="R4" s="5"/>
      <c r="S4" s="27" t="s">
        <v>17</v>
      </c>
    </row>
    <row r="5" spans="1:28" ht="102.75" customHeight="1" x14ac:dyDescent="0.25">
      <c r="A5" s="2" t="s">
        <v>12</v>
      </c>
      <c r="B5" s="28" t="s">
        <v>45</v>
      </c>
      <c r="I5" s="29"/>
      <c r="M5" s="7"/>
      <c r="N5" s="3"/>
      <c r="O5" s="3"/>
      <c r="P5" s="3"/>
      <c r="Q5" s="29"/>
      <c r="T5" s="28" t="s">
        <v>45</v>
      </c>
      <c r="Y5" s="29" t="s">
        <v>45</v>
      </c>
      <c r="Z5" s="29"/>
      <c r="AA5" s="29" t="s">
        <v>52</v>
      </c>
      <c r="AB5" s="32"/>
    </row>
  </sheetData>
  <mergeCells count="7">
    <mergeCell ref="W2:AA2"/>
    <mergeCell ref="T2:U2"/>
    <mergeCell ref="B2:F2"/>
    <mergeCell ref="G2:J2"/>
    <mergeCell ref="K2:L2"/>
    <mergeCell ref="M2:Q2"/>
    <mergeCell ref="R2:S2"/>
  </mergeCells>
  <pageMargins left="0.7" right="0.7" top="0.75" bottom="0.75" header="0.3" footer="0.3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Rekapan</vt:lpstr>
      <vt:lpstr>Eligibility</vt:lpstr>
      <vt:lpstr>Include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2025-04-24T02:43:05Z</dcterms:created>
  <dcterms:modified xsi:type="dcterms:W3CDTF">2025-05-18T23:48:28Z</dcterms:modified>
</cp:coreProperties>
</file>