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VALUASI ADAK\"/>
    </mc:Choice>
  </mc:AlternateContent>
  <xr:revisionPtr revIDLastSave="0" documentId="13_ncr:1_{1D0A6E42-06BB-4E33-AFC0-3F154E9416AC}" xr6:coauthVersionLast="47" xr6:coauthVersionMax="47" xr10:uidLastSave="{00000000-0000-0000-0000-000000000000}"/>
  <bookViews>
    <workbookView xWindow="-110" yWindow="-110" windowWidth="19420" windowHeight="10300" activeTab="1" xr2:uid="{F2E6BED9-64EB-4671-A668-266BECC75BC3}"/>
  </bookViews>
  <sheets>
    <sheet name="Gambar" sheetId="1" r:id="rId1"/>
    <sheet name="Kegiatan" sheetId="2" r:id="rId2"/>
    <sheet name="Hari Libu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AP40" i="1"/>
  <c r="AO43" i="1" s="1"/>
  <c r="AP43" i="1" s="1"/>
  <c r="AQ43" i="1" s="1"/>
  <c r="AR43" i="1" s="1"/>
  <c r="AS43" i="1" s="1"/>
  <c r="AT43" i="1" s="1"/>
  <c r="AU43" i="1" s="1"/>
  <c r="AO44" i="1" s="1"/>
  <c r="AP44" i="1" s="1"/>
  <c r="AQ44" i="1" s="1"/>
  <c r="AR44" i="1" s="1"/>
  <c r="AS44" i="1" s="1"/>
  <c r="AT44" i="1" s="1"/>
  <c r="AU44" i="1" s="1"/>
  <c r="AO45" i="1" s="1"/>
  <c r="AP45" i="1" s="1"/>
  <c r="AQ45" i="1" s="1"/>
  <c r="AR45" i="1" s="1"/>
  <c r="AS45" i="1" s="1"/>
  <c r="AT45" i="1" s="1"/>
  <c r="AU45" i="1" s="1"/>
  <c r="AO46" i="1" s="1"/>
  <c r="AP46" i="1" s="1"/>
  <c r="AQ46" i="1" s="1"/>
  <c r="AR46" i="1" s="1"/>
  <c r="AS46" i="1" s="1"/>
  <c r="AT46" i="1" s="1"/>
  <c r="AU46" i="1" s="1"/>
  <c r="AO47" i="1" s="1"/>
  <c r="AP47" i="1" s="1"/>
  <c r="AQ47" i="1" s="1"/>
  <c r="AR47" i="1" s="1"/>
  <c r="AS47" i="1" s="1"/>
  <c r="AT47" i="1" s="1"/>
  <c r="AU47" i="1" s="1"/>
  <c r="AH40" i="1"/>
  <c r="AG43" i="1" s="1"/>
  <c r="AH43" i="1" s="1"/>
  <c r="AI43" i="1" s="1"/>
  <c r="AJ43" i="1" s="1"/>
  <c r="AK43" i="1" s="1"/>
  <c r="AL43" i="1" s="1"/>
  <c r="AM43" i="1" s="1"/>
  <c r="AG44" i="1" s="1"/>
  <c r="AH44" i="1" s="1"/>
  <c r="AI44" i="1" s="1"/>
  <c r="AJ44" i="1" s="1"/>
  <c r="AK44" i="1" s="1"/>
  <c r="AL44" i="1" s="1"/>
  <c r="AM44" i="1" s="1"/>
  <c r="AG45" i="1" s="1"/>
  <c r="AH45" i="1" s="1"/>
  <c r="AI45" i="1" s="1"/>
  <c r="AJ45" i="1" s="1"/>
  <c r="AK45" i="1" s="1"/>
  <c r="AL45" i="1" s="1"/>
  <c r="AM45" i="1" s="1"/>
  <c r="AG46" i="1" s="1"/>
  <c r="AH46" i="1" s="1"/>
  <c r="AI46" i="1" s="1"/>
  <c r="AJ46" i="1" s="1"/>
  <c r="AK46" i="1" s="1"/>
  <c r="AL46" i="1" s="1"/>
  <c r="AM46" i="1" s="1"/>
  <c r="AG47" i="1" s="1"/>
  <c r="AH47" i="1" s="1"/>
  <c r="AI47" i="1" s="1"/>
  <c r="AJ47" i="1" s="1"/>
  <c r="AK47" i="1" s="1"/>
  <c r="AL47" i="1" s="1"/>
  <c r="AM47" i="1" s="1"/>
  <c r="Z40" i="1"/>
  <c r="Y43" i="1" s="1"/>
  <c r="Z43" i="1" s="1"/>
  <c r="AA43" i="1" s="1"/>
  <c r="AB43" i="1" s="1"/>
  <c r="AC43" i="1" s="1"/>
  <c r="AD43" i="1" s="1"/>
  <c r="AE43" i="1" s="1"/>
  <c r="Y44" i="1" s="1"/>
  <c r="Z44" i="1" s="1"/>
  <c r="AA44" i="1" s="1"/>
  <c r="AB44" i="1" s="1"/>
  <c r="AC44" i="1" s="1"/>
  <c r="AD44" i="1" s="1"/>
  <c r="AE44" i="1" s="1"/>
  <c r="Y45" i="1" s="1"/>
  <c r="Z45" i="1" s="1"/>
  <c r="AA45" i="1" s="1"/>
  <c r="AB45" i="1" s="1"/>
  <c r="AC45" i="1" s="1"/>
  <c r="AD45" i="1" s="1"/>
  <c r="AE45" i="1" s="1"/>
  <c r="Y46" i="1" s="1"/>
  <c r="Z46" i="1" s="1"/>
  <c r="AA46" i="1" s="1"/>
  <c r="AB46" i="1" s="1"/>
  <c r="AC46" i="1" s="1"/>
  <c r="AD46" i="1" s="1"/>
  <c r="AE46" i="1" s="1"/>
  <c r="Y47" i="1" s="1"/>
  <c r="Z47" i="1" s="1"/>
  <c r="AA47" i="1" s="1"/>
  <c r="AB47" i="1" s="1"/>
  <c r="AC47" i="1" s="1"/>
  <c r="AD47" i="1" s="1"/>
  <c r="AE47" i="1" s="1"/>
  <c r="R40" i="1"/>
  <c r="Q43" i="1" s="1"/>
  <c r="R43" i="1" s="1"/>
  <c r="S43" i="1" s="1"/>
  <c r="T43" i="1" s="1"/>
  <c r="U43" i="1" s="1"/>
  <c r="V43" i="1" s="1"/>
  <c r="W43" i="1" s="1"/>
  <c r="Q44" i="1" s="1"/>
  <c r="R44" i="1" s="1"/>
  <c r="S44" i="1" s="1"/>
  <c r="T44" i="1" s="1"/>
  <c r="U44" i="1" s="1"/>
  <c r="V44" i="1" s="1"/>
  <c r="W44" i="1" s="1"/>
  <c r="Q45" i="1" s="1"/>
  <c r="R45" i="1" s="1"/>
  <c r="S45" i="1" s="1"/>
  <c r="T45" i="1" s="1"/>
  <c r="U45" i="1" s="1"/>
  <c r="V45" i="1" s="1"/>
  <c r="W45" i="1" s="1"/>
  <c r="Q46" i="1" s="1"/>
  <c r="R46" i="1" s="1"/>
  <c r="S46" i="1" s="1"/>
  <c r="T46" i="1" s="1"/>
  <c r="U46" i="1" s="1"/>
  <c r="V46" i="1" s="1"/>
  <c r="W46" i="1" s="1"/>
  <c r="Q47" i="1" s="1"/>
  <c r="R47" i="1" s="1"/>
  <c r="S47" i="1" s="1"/>
  <c r="T47" i="1" s="1"/>
  <c r="U47" i="1" s="1"/>
  <c r="V47" i="1" s="1"/>
  <c r="W47" i="1" s="1"/>
  <c r="J40" i="1"/>
  <c r="I43" i="1" s="1"/>
  <c r="J43" i="1" s="1"/>
  <c r="K43" i="1" s="1"/>
  <c r="L43" i="1" s="1"/>
  <c r="M43" i="1" s="1"/>
  <c r="N43" i="1" s="1"/>
  <c r="O43" i="1" s="1"/>
  <c r="I44" i="1" s="1"/>
  <c r="J44" i="1" s="1"/>
  <c r="K44" i="1" s="1"/>
  <c r="L44" i="1" s="1"/>
  <c r="M44" i="1" s="1"/>
  <c r="N44" i="1" s="1"/>
  <c r="O44" i="1" s="1"/>
  <c r="I45" i="1" s="1"/>
  <c r="J45" i="1" s="1"/>
  <c r="K45" i="1" s="1"/>
  <c r="L45" i="1" s="1"/>
  <c r="M45" i="1" s="1"/>
  <c r="N45" i="1" s="1"/>
  <c r="O45" i="1" s="1"/>
  <c r="I46" i="1" s="1"/>
  <c r="J46" i="1" s="1"/>
  <c r="K46" i="1" s="1"/>
  <c r="L46" i="1" s="1"/>
  <c r="M46" i="1" s="1"/>
  <c r="N46" i="1" s="1"/>
  <c r="O46" i="1" s="1"/>
  <c r="I47" i="1" s="1"/>
  <c r="J47" i="1" s="1"/>
  <c r="K47" i="1" s="1"/>
  <c r="L47" i="1" s="1"/>
  <c r="M47" i="1" s="1"/>
  <c r="N47" i="1" s="1"/>
  <c r="O47" i="1" s="1"/>
  <c r="B40" i="1"/>
  <c r="A43" i="1" s="1"/>
  <c r="B43" i="1" s="1"/>
  <c r="C43" i="1" s="1"/>
  <c r="D43" i="1" s="1"/>
  <c r="E43" i="1" s="1"/>
  <c r="F43" i="1" s="1"/>
  <c r="G43" i="1" s="1"/>
  <c r="A44" i="1" s="1"/>
  <c r="B44" i="1" s="1"/>
  <c r="C44" i="1" s="1"/>
  <c r="D44" i="1" s="1"/>
  <c r="E44" i="1" s="1"/>
  <c r="F44" i="1" s="1"/>
  <c r="G44" i="1" s="1"/>
  <c r="A45" i="1" s="1"/>
  <c r="B45" i="1" s="1"/>
  <c r="C45" i="1" s="1"/>
  <c r="D45" i="1" s="1"/>
  <c r="E45" i="1" s="1"/>
  <c r="F45" i="1" s="1"/>
  <c r="G45" i="1" s="1"/>
  <c r="A46" i="1" s="1"/>
  <c r="B46" i="1" s="1"/>
  <c r="C46" i="1" s="1"/>
  <c r="D46" i="1" s="1"/>
  <c r="E46" i="1" s="1"/>
  <c r="F46" i="1" s="1"/>
  <c r="G46" i="1" s="1"/>
  <c r="A47" i="1" s="1"/>
  <c r="B47" i="1" s="1"/>
  <c r="C47" i="1" s="1"/>
  <c r="D47" i="1" s="1"/>
  <c r="E47" i="1" s="1"/>
  <c r="F47" i="1" s="1"/>
  <c r="G47" i="1" s="1"/>
  <c r="AP26" i="1"/>
  <c r="AO29" i="1" s="1"/>
  <c r="AP29" i="1" s="1"/>
  <c r="AQ29" i="1" s="1"/>
  <c r="AR29" i="1" s="1"/>
  <c r="AS29" i="1" s="1"/>
  <c r="AT29" i="1" s="1"/>
  <c r="AU29" i="1" s="1"/>
  <c r="AO30" i="1" s="1"/>
  <c r="AP30" i="1" s="1"/>
  <c r="AQ30" i="1" s="1"/>
  <c r="AR30" i="1" s="1"/>
  <c r="AS30" i="1" s="1"/>
  <c r="AT30" i="1" s="1"/>
  <c r="AU30" i="1" s="1"/>
  <c r="AO31" i="1" s="1"/>
  <c r="AP31" i="1" s="1"/>
  <c r="AQ31" i="1" s="1"/>
  <c r="AR31" i="1" s="1"/>
  <c r="AS31" i="1" s="1"/>
  <c r="AT31" i="1" s="1"/>
  <c r="AU31" i="1" s="1"/>
  <c r="AO32" i="1" s="1"/>
  <c r="AP32" i="1" s="1"/>
  <c r="AQ32" i="1" s="1"/>
  <c r="AR32" i="1" s="1"/>
  <c r="AS32" i="1" s="1"/>
  <c r="AT32" i="1" s="1"/>
  <c r="AU32" i="1" s="1"/>
  <c r="AO33" i="1" s="1"/>
  <c r="AP33" i="1" s="1"/>
  <c r="AQ33" i="1" s="1"/>
  <c r="AR33" i="1" s="1"/>
  <c r="AS33" i="1" s="1"/>
  <c r="AT33" i="1" s="1"/>
  <c r="AU33" i="1" s="1"/>
  <c r="AH26" i="1"/>
  <c r="AG29" i="1" s="1"/>
  <c r="AH29" i="1" s="1"/>
  <c r="AI29" i="1" s="1"/>
  <c r="AJ29" i="1" s="1"/>
  <c r="AK29" i="1" s="1"/>
  <c r="AL29" i="1" s="1"/>
  <c r="AM29" i="1" s="1"/>
  <c r="AG30" i="1" s="1"/>
  <c r="AH30" i="1" s="1"/>
  <c r="AI30" i="1" s="1"/>
  <c r="AJ30" i="1" s="1"/>
  <c r="AK30" i="1" s="1"/>
  <c r="AL30" i="1" s="1"/>
  <c r="AM30" i="1" s="1"/>
  <c r="AG31" i="1" s="1"/>
  <c r="AH31" i="1" s="1"/>
  <c r="AI31" i="1" s="1"/>
  <c r="AJ31" i="1" s="1"/>
  <c r="AK31" i="1" s="1"/>
  <c r="AL31" i="1" s="1"/>
  <c r="AM31" i="1" s="1"/>
  <c r="AG32" i="1" s="1"/>
  <c r="AH32" i="1" s="1"/>
  <c r="AI32" i="1" s="1"/>
  <c r="AJ32" i="1" s="1"/>
  <c r="AK32" i="1" s="1"/>
  <c r="AL32" i="1" s="1"/>
  <c r="AM32" i="1" s="1"/>
  <c r="AG33" i="1" s="1"/>
  <c r="AH33" i="1" s="1"/>
  <c r="AI33" i="1" s="1"/>
  <c r="AJ33" i="1" s="1"/>
  <c r="AK33" i="1" s="1"/>
  <c r="AL33" i="1" s="1"/>
  <c r="AM33" i="1" s="1"/>
  <c r="AG34" i="1" s="1"/>
  <c r="Z26" i="1"/>
  <c r="Y29" i="1" s="1"/>
  <c r="Z29" i="1" s="1"/>
  <c r="AA29" i="1" s="1"/>
  <c r="AB29" i="1" s="1"/>
  <c r="AC29" i="1" s="1"/>
  <c r="AD29" i="1" s="1"/>
  <c r="AE29" i="1" s="1"/>
  <c r="Y30" i="1" s="1"/>
  <c r="Z30" i="1" s="1"/>
  <c r="AA30" i="1" s="1"/>
  <c r="AB30" i="1" s="1"/>
  <c r="AC30" i="1" s="1"/>
  <c r="AD30" i="1" s="1"/>
  <c r="AE30" i="1" s="1"/>
  <c r="Y31" i="1" s="1"/>
  <c r="Z31" i="1" s="1"/>
  <c r="AA31" i="1" s="1"/>
  <c r="AB31" i="1" s="1"/>
  <c r="AC31" i="1" s="1"/>
  <c r="AD31" i="1" s="1"/>
  <c r="AE31" i="1" s="1"/>
  <c r="Y32" i="1" s="1"/>
  <c r="Z32" i="1" s="1"/>
  <c r="AA32" i="1" s="1"/>
  <c r="AB32" i="1" s="1"/>
  <c r="AC32" i="1" s="1"/>
  <c r="AD32" i="1" s="1"/>
  <c r="AE32" i="1" s="1"/>
  <c r="Y33" i="1" s="1"/>
  <c r="Z33" i="1" s="1"/>
  <c r="AA33" i="1" s="1"/>
  <c r="AB33" i="1" s="1"/>
  <c r="AC33" i="1" s="1"/>
  <c r="AD33" i="1" s="1"/>
  <c r="AE33" i="1" s="1"/>
  <c r="R26" i="1"/>
  <c r="Q29" i="1" s="1"/>
  <c r="R29" i="1" s="1"/>
  <c r="S29" i="1" s="1"/>
  <c r="T29" i="1" s="1"/>
  <c r="U29" i="1" s="1"/>
  <c r="V29" i="1" s="1"/>
  <c r="W29" i="1" s="1"/>
  <c r="Q30" i="1" s="1"/>
  <c r="R30" i="1" s="1"/>
  <c r="S30" i="1" s="1"/>
  <c r="T30" i="1" s="1"/>
  <c r="U30" i="1" s="1"/>
  <c r="V30" i="1" s="1"/>
  <c r="W30" i="1" s="1"/>
  <c r="Q31" i="1" s="1"/>
  <c r="R31" i="1" s="1"/>
  <c r="S31" i="1" s="1"/>
  <c r="T31" i="1" s="1"/>
  <c r="U31" i="1" s="1"/>
  <c r="V31" i="1" s="1"/>
  <c r="W31" i="1" s="1"/>
  <c r="Q32" i="1" s="1"/>
  <c r="R32" i="1" s="1"/>
  <c r="S32" i="1" s="1"/>
  <c r="T32" i="1" s="1"/>
  <c r="U32" i="1" s="1"/>
  <c r="V32" i="1" s="1"/>
  <c r="W32" i="1" s="1"/>
  <c r="Q33" i="1" s="1"/>
  <c r="R33" i="1" s="1"/>
  <c r="S33" i="1" s="1"/>
  <c r="T33" i="1" s="1"/>
  <c r="U33" i="1" s="1"/>
  <c r="V33" i="1" s="1"/>
  <c r="W33" i="1" s="1"/>
  <c r="J26" i="1"/>
  <c r="I29" i="1" s="1"/>
  <c r="J29" i="1" s="1"/>
  <c r="K29" i="1" s="1"/>
  <c r="L29" i="1" s="1"/>
  <c r="M29" i="1" s="1"/>
  <c r="N29" i="1" s="1"/>
  <c r="O29" i="1" s="1"/>
  <c r="I30" i="1" s="1"/>
  <c r="J30" i="1" s="1"/>
  <c r="K30" i="1" s="1"/>
  <c r="L30" i="1" s="1"/>
  <c r="M30" i="1" s="1"/>
  <c r="N30" i="1" s="1"/>
  <c r="O30" i="1" s="1"/>
  <c r="I31" i="1" s="1"/>
  <c r="J31" i="1" s="1"/>
  <c r="K31" i="1" s="1"/>
  <c r="L31" i="1" s="1"/>
  <c r="M31" i="1" s="1"/>
  <c r="N31" i="1" s="1"/>
  <c r="O31" i="1" s="1"/>
  <c r="I32" i="1" s="1"/>
  <c r="J32" i="1" s="1"/>
  <c r="K32" i="1" s="1"/>
  <c r="L32" i="1" s="1"/>
  <c r="M32" i="1" s="1"/>
  <c r="N32" i="1" s="1"/>
  <c r="O32" i="1" s="1"/>
  <c r="I33" i="1" s="1"/>
  <c r="J33" i="1" s="1"/>
  <c r="K33" i="1" s="1"/>
  <c r="L33" i="1" s="1"/>
  <c r="M33" i="1" s="1"/>
  <c r="N33" i="1" s="1"/>
  <c r="O33" i="1" s="1"/>
  <c r="B26" i="1"/>
  <c r="A29" i="1" s="1"/>
  <c r="B29" i="1" s="1"/>
  <c r="C29" i="1" s="1"/>
  <c r="D29" i="1" s="1"/>
  <c r="E29" i="1" s="1"/>
  <c r="F29" i="1" s="1"/>
  <c r="G29" i="1" s="1"/>
  <c r="A30" i="1" s="1"/>
  <c r="B30" i="1" s="1"/>
  <c r="C30" i="1" s="1"/>
  <c r="D30" i="1" s="1"/>
  <c r="E30" i="1" s="1"/>
  <c r="F30" i="1" s="1"/>
  <c r="G30" i="1" s="1"/>
  <c r="A31" i="1" s="1"/>
  <c r="B31" i="1" s="1"/>
  <c r="C31" i="1" s="1"/>
  <c r="D31" i="1" s="1"/>
  <c r="E31" i="1" s="1"/>
  <c r="F31" i="1" s="1"/>
  <c r="G31" i="1" s="1"/>
  <c r="A32" i="1" s="1"/>
  <c r="B32" i="1" s="1"/>
  <c r="C32" i="1" s="1"/>
  <c r="D32" i="1" s="1"/>
  <c r="E32" i="1" s="1"/>
  <c r="F32" i="1" s="1"/>
  <c r="G32" i="1" s="1"/>
  <c r="A33" i="1" s="1"/>
  <c r="B33" i="1" s="1"/>
  <c r="C33" i="1" s="1"/>
  <c r="D33" i="1" s="1"/>
  <c r="E33" i="1" s="1"/>
  <c r="F33" i="1" s="1"/>
  <c r="G33" i="1" s="1"/>
  <c r="Z10" i="1"/>
  <c r="Y13" i="1" s="1"/>
  <c r="Z13" i="1" s="1"/>
  <c r="AA13" i="1" s="1"/>
  <c r="AB13" i="1" s="1"/>
  <c r="AC13" i="1" s="1"/>
  <c r="AD13" i="1" s="1"/>
  <c r="AE13" i="1" s="1"/>
  <c r="Y14" i="1" s="1"/>
  <c r="Z14" i="1" s="1"/>
  <c r="AA14" i="1" s="1"/>
  <c r="AB14" i="1" s="1"/>
  <c r="AC14" i="1" s="1"/>
  <c r="AD14" i="1" s="1"/>
  <c r="AE14" i="1" s="1"/>
  <c r="Y15" i="1" s="1"/>
  <c r="Z15" i="1" s="1"/>
  <c r="AA15" i="1" s="1"/>
  <c r="AB15" i="1" s="1"/>
  <c r="AC15" i="1" s="1"/>
  <c r="AD15" i="1" s="1"/>
  <c r="AE15" i="1" s="1"/>
  <c r="Y16" i="1" s="1"/>
  <c r="Z16" i="1" s="1"/>
  <c r="AA16" i="1" s="1"/>
  <c r="AB16" i="1" s="1"/>
  <c r="AC16" i="1" s="1"/>
  <c r="AD16" i="1" s="1"/>
  <c r="AE16" i="1" s="1"/>
  <c r="Y17" i="1" s="1"/>
  <c r="Z17" i="1" s="1"/>
  <c r="AA17" i="1" s="1"/>
  <c r="AB17" i="1" s="1"/>
  <c r="AC17" i="1" s="1"/>
  <c r="AD17" i="1" s="1"/>
  <c r="AE17" i="1" s="1"/>
  <c r="AP10" i="1"/>
  <c r="AO13" i="1" s="1"/>
  <c r="AP13" i="1" s="1"/>
  <c r="AQ13" i="1" s="1"/>
  <c r="AR13" i="1" s="1"/>
  <c r="AS13" i="1" s="1"/>
  <c r="AT13" i="1" s="1"/>
  <c r="AU13" i="1" s="1"/>
  <c r="AO14" i="1" s="1"/>
  <c r="AP14" i="1" s="1"/>
  <c r="AQ14" i="1" s="1"/>
  <c r="AR14" i="1" s="1"/>
  <c r="AS14" i="1" s="1"/>
  <c r="AT14" i="1" s="1"/>
  <c r="AU14" i="1" s="1"/>
  <c r="AO15" i="1" s="1"/>
  <c r="AP15" i="1" s="1"/>
  <c r="AQ15" i="1" s="1"/>
  <c r="AR15" i="1" s="1"/>
  <c r="AS15" i="1" s="1"/>
  <c r="AT15" i="1" s="1"/>
  <c r="AU15" i="1" s="1"/>
  <c r="AO16" i="1" s="1"/>
  <c r="AP16" i="1" s="1"/>
  <c r="AQ16" i="1" s="1"/>
  <c r="AR16" i="1" s="1"/>
  <c r="AS16" i="1" s="1"/>
  <c r="AT16" i="1" s="1"/>
  <c r="AU16" i="1" s="1"/>
  <c r="AO17" i="1" s="1"/>
  <c r="AP17" i="1" s="1"/>
  <c r="AQ17" i="1" s="1"/>
  <c r="AR17" i="1" s="1"/>
  <c r="AS17" i="1" s="1"/>
  <c r="AT17" i="1" s="1"/>
  <c r="AU17" i="1" s="1"/>
  <c r="AH10" i="1"/>
  <c r="AG13" i="1" s="1"/>
  <c r="AH13" i="1" s="1"/>
  <c r="AI13" i="1" s="1"/>
  <c r="AJ13" i="1" s="1"/>
  <c r="AK13" i="1" s="1"/>
  <c r="AL13" i="1" s="1"/>
  <c r="AM13" i="1" s="1"/>
  <c r="AG14" i="1" s="1"/>
  <c r="AH14" i="1" s="1"/>
  <c r="AI14" i="1" s="1"/>
  <c r="AJ14" i="1" s="1"/>
  <c r="AK14" i="1" s="1"/>
  <c r="AL14" i="1" s="1"/>
  <c r="AM14" i="1" s="1"/>
  <c r="AG15" i="1" s="1"/>
  <c r="AH15" i="1" s="1"/>
  <c r="AI15" i="1" s="1"/>
  <c r="AJ15" i="1" s="1"/>
  <c r="AK15" i="1" s="1"/>
  <c r="AL15" i="1" s="1"/>
  <c r="AM15" i="1" s="1"/>
  <c r="AG16" i="1" s="1"/>
  <c r="AH16" i="1" s="1"/>
  <c r="AI16" i="1" s="1"/>
  <c r="AJ16" i="1" s="1"/>
  <c r="AK16" i="1" s="1"/>
  <c r="AL16" i="1" s="1"/>
  <c r="AM16" i="1" s="1"/>
  <c r="AG17" i="1" s="1"/>
  <c r="AH17" i="1" s="1"/>
  <c r="AI17" i="1" s="1"/>
  <c r="AJ17" i="1" s="1"/>
  <c r="AK17" i="1" s="1"/>
  <c r="AL17" i="1" s="1"/>
  <c r="AM17" i="1" s="1"/>
  <c r="R10" i="1"/>
  <c r="Q13" i="1" s="1"/>
  <c r="R13" i="1" s="1"/>
  <c r="S13" i="1" s="1"/>
  <c r="T13" i="1" s="1"/>
  <c r="U13" i="1" s="1"/>
  <c r="V13" i="1" s="1"/>
  <c r="W13" i="1" s="1"/>
  <c r="Q14" i="1" s="1"/>
  <c r="R14" i="1" s="1"/>
  <c r="S14" i="1" s="1"/>
  <c r="T14" i="1" s="1"/>
  <c r="U14" i="1" s="1"/>
  <c r="V14" i="1" s="1"/>
  <c r="W14" i="1" s="1"/>
  <c r="Q15" i="1" s="1"/>
  <c r="R15" i="1" s="1"/>
  <c r="S15" i="1" s="1"/>
  <c r="T15" i="1" s="1"/>
  <c r="U15" i="1" s="1"/>
  <c r="V15" i="1" s="1"/>
  <c r="W15" i="1" s="1"/>
  <c r="Q16" i="1" s="1"/>
  <c r="R16" i="1" s="1"/>
  <c r="S16" i="1" s="1"/>
  <c r="T16" i="1" s="1"/>
  <c r="U16" i="1" s="1"/>
  <c r="V16" i="1" s="1"/>
  <c r="W16" i="1" s="1"/>
  <c r="Q17" i="1" s="1"/>
  <c r="R17" i="1" s="1"/>
  <c r="S17" i="1" s="1"/>
  <c r="T17" i="1" s="1"/>
  <c r="U17" i="1" s="1"/>
  <c r="V17" i="1" s="1"/>
  <c r="W17" i="1" s="1"/>
  <c r="J10" i="1"/>
  <c r="I13" i="1" s="1"/>
  <c r="J13" i="1" s="1"/>
  <c r="K13" i="1" s="1"/>
  <c r="L13" i="1" s="1"/>
  <c r="M13" i="1" s="1"/>
  <c r="N13" i="1" s="1"/>
  <c r="O13" i="1" s="1"/>
  <c r="I14" i="1" s="1"/>
  <c r="J14" i="1" s="1"/>
  <c r="K14" i="1" s="1"/>
  <c r="L14" i="1" s="1"/>
  <c r="M14" i="1" s="1"/>
  <c r="N14" i="1" s="1"/>
  <c r="O14" i="1" s="1"/>
  <c r="I15" i="1" s="1"/>
  <c r="J15" i="1" s="1"/>
  <c r="K15" i="1" s="1"/>
  <c r="L15" i="1" s="1"/>
  <c r="M15" i="1" s="1"/>
  <c r="N15" i="1" s="1"/>
  <c r="O15" i="1" s="1"/>
  <c r="I16" i="1" s="1"/>
  <c r="J16" i="1" s="1"/>
  <c r="K16" i="1" s="1"/>
  <c r="L16" i="1" s="1"/>
  <c r="M16" i="1" s="1"/>
  <c r="N16" i="1" s="1"/>
  <c r="O16" i="1" s="1"/>
  <c r="I17" i="1" s="1"/>
  <c r="J17" i="1" s="1"/>
  <c r="K17" i="1" s="1"/>
  <c r="L17" i="1" s="1"/>
  <c r="M17" i="1" s="1"/>
  <c r="N17" i="1" s="1"/>
  <c r="O17" i="1" s="1"/>
  <c r="I18" i="1" s="1"/>
  <c r="A13" i="1"/>
  <c r="B13" i="1" s="1"/>
  <c r="C13" i="1" s="1"/>
  <c r="D13" i="1" s="1"/>
  <c r="E13" i="1" s="1"/>
  <c r="F13" i="1" s="1"/>
  <c r="G13" i="1" s="1"/>
  <c r="A14" i="1" s="1"/>
  <c r="B14" i="1" s="1"/>
  <c r="C14" i="1" s="1"/>
  <c r="D14" i="1" s="1"/>
  <c r="E14" i="1" s="1"/>
  <c r="F14" i="1" s="1"/>
  <c r="G14" i="1" s="1"/>
  <c r="A15" i="1" s="1"/>
  <c r="B15" i="1" s="1"/>
  <c r="C15" i="1" s="1"/>
  <c r="D15" i="1" s="1"/>
  <c r="E15" i="1" s="1"/>
  <c r="F15" i="1" s="1"/>
  <c r="G15" i="1" s="1"/>
  <c r="A16" i="1" s="1"/>
  <c r="B16" i="1" s="1"/>
  <c r="C16" i="1" s="1"/>
  <c r="D16" i="1" s="1"/>
  <c r="E16" i="1" s="1"/>
  <c r="F16" i="1" s="1"/>
  <c r="G16" i="1" s="1"/>
  <c r="A17" i="1" s="1"/>
  <c r="B17" i="1" s="1"/>
  <c r="C17" i="1" s="1"/>
  <c r="D17" i="1" s="1"/>
  <c r="E17" i="1" s="1"/>
  <c r="F17" i="1" s="1"/>
  <c r="G17" i="1" s="1"/>
  <c r="AP1" i="1"/>
  <c r="AO4" i="1" s="1"/>
  <c r="AP4" i="1" s="1"/>
  <c r="AQ4" i="1" s="1"/>
  <c r="AR4" i="1" s="1"/>
  <c r="AS4" i="1" s="1"/>
  <c r="AT4" i="1" s="1"/>
  <c r="AU4" i="1" s="1"/>
  <c r="AO5" i="1" s="1"/>
  <c r="AP5" i="1" s="1"/>
  <c r="AQ5" i="1" s="1"/>
  <c r="AR5" i="1" s="1"/>
  <c r="AS5" i="1" s="1"/>
  <c r="AT5" i="1" s="1"/>
  <c r="AU5" i="1" s="1"/>
  <c r="AO6" i="1" s="1"/>
  <c r="AP6" i="1" s="1"/>
  <c r="AQ6" i="1" s="1"/>
  <c r="AR6" i="1" s="1"/>
  <c r="AS6" i="1" s="1"/>
  <c r="AT6" i="1" s="1"/>
  <c r="AU6" i="1" s="1"/>
  <c r="AO7" i="1" s="1"/>
  <c r="AP7" i="1" s="1"/>
  <c r="AQ7" i="1" s="1"/>
  <c r="AR7" i="1" s="1"/>
  <c r="AS7" i="1" s="1"/>
  <c r="AT7" i="1" s="1"/>
  <c r="AU7" i="1" s="1"/>
  <c r="AO8" i="1" s="1"/>
  <c r="AP8" i="1" s="1"/>
  <c r="AQ8" i="1" s="1"/>
  <c r="AR8" i="1" s="1"/>
  <c r="AS8" i="1" s="1"/>
  <c r="AT8" i="1" s="1"/>
  <c r="AU8" i="1" s="1"/>
  <c r="AH1" i="1"/>
  <c r="AG4" i="1" s="1"/>
  <c r="AH4" i="1" s="1"/>
  <c r="AI4" i="1" s="1"/>
  <c r="AJ4" i="1" s="1"/>
  <c r="AK4" i="1" s="1"/>
  <c r="AL4" i="1" s="1"/>
  <c r="AM4" i="1" s="1"/>
  <c r="AG5" i="1" s="1"/>
  <c r="AH5" i="1" s="1"/>
  <c r="AI5" i="1" s="1"/>
  <c r="AJ5" i="1" s="1"/>
  <c r="AK5" i="1" s="1"/>
  <c r="AL5" i="1" s="1"/>
  <c r="AM5" i="1" s="1"/>
  <c r="AG6" i="1" s="1"/>
  <c r="AH6" i="1" s="1"/>
  <c r="AI6" i="1" s="1"/>
  <c r="AJ6" i="1" s="1"/>
  <c r="AK6" i="1" s="1"/>
  <c r="AL6" i="1" s="1"/>
  <c r="AM6" i="1" s="1"/>
  <c r="AG7" i="1" s="1"/>
  <c r="AH7" i="1" s="1"/>
  <c r="AI7" i="1" s="1"/>
  <c r="AJ7" i="1" s="1"/>
  <c r="AK7" i="1" s="1"/>
  <c r="AL7" i="1" s="1"/>
  <c r="AM7" i="1" s="1"/>
  <c r="AG8" i="1" s="1"/>
  <c r="AH8" i="1" s="1"/>
  <c r="AI8" i="1" s="1"/>
  <c r="AJ8" i="1" s="1"/>
  <c r="AK8" i="1" s="1"/>
  <c r="AL8" i="1" s="1"/>
  <c r="AM8" i="1" s="1"/>
  <c r="Z1" i="1"/>
  <c r="Y4" i="1" s="1"/>
  <c r="R1" i="1"/>
  <c r="Q4" i="1" s="1"/>
  <c r="R4" i="1" s="1"/>
  <c r="S4" i="1" s="1"/>
  <c r="T4" i="1" s="1"/>
  <c r="U4" i="1" s="1"/>
  <c r="V4" i="1" s="1"/>
  <c r="W4" i="1" s="1"/>
  <c r="Q5" i="1" s="1"/>
  <c r="R5" i="1" s="1"/>
  <c r="S5" i="1" s="1"/>
  <c r="T5" i="1" s="1"/>
  <c r="U5" i="1" s="1"/>
  <c r="V5" i="1" s="1"/>
  <c r="W5" i="1" s="1"/>
  <c r="Q6" i="1" s="1"/>
  <c r="R6" i="1" s="1"/>
  <c r="S6" i="1" s="1"/>
  <c r="T6" i="1" s="1"/>
  <c r="U6" i="1" s="1"/>
  <c r="V6" i="1" s="1"/>
  <c r="W6" i="1" s="1"/>
  <c r="Q7" i="1" s="1"/>
  <c r="R7" i="1" s="1"/>
  <c r="S7" i="1" s="1"/>
  <c r="T7" i="1" s="1"/>
  <c r="U7" i="1" s="1"/>
  <c r="V7" i="1" s="1"/>
  <c r="W7" i="1" s="1"/>
  <c r="Q8" i="1" s="1"/>
  <c r="R8" i="1" s="1"/>
  <c r="S8" i="1" s="1"/>
  <c r="T8" i="1" s="1"/>
  <c r="U8" i="1" s="1"/>
  <c r="V8" i="1" s="1"/>
  <c r="W8" i="1" s="1"/>
  <c r="J1" i="1"/>
  <c r="B1" i="1"/>
  <c r="A4" i="1" s="1"/>
  <c r="B4" i="1" s="1"/>
  <c r="C4" i="1" s="1"/>
  <c r="D4" i="1" s="1"/>
  <c r="E4" i="1" s="1"/>
  <c r="F4" i="1" s="1"/>
  <c r="G4" i="1" s="1"/>
  <c r="A5" i="1" s="1"/>
  <c r="B5" i="1" s="1"/>
  <c r="C5" i="1" s="1"/>
  <c r="D5" i="1" s="1"/>
  <c r="E5" i="1" s="1"/>
  <c r="F5" i="1" s="1"/>
  <c r="G5" i="1" s="1"/>
  <c r="A6" i="1" s="1"/>
  <c r="B6" i="1" s="1"/>
  <c r="C6" i="1" s="1"/>
  <c r="D6" i="1" s="1"/>
  <c r="E6" i="1" s="1"/>
  <c r="F6" i="1" s="1"/>
  <c r="G6" i="1" s="1"/>
  <c r="A7" i="1" s="1"/>
  <c r="B7" i="1" s="1"/>
  <c r="C7" i="1" s="1"/>
  <c r="D7" i="1" s="1"/>
  <c r="E7" i="1" s="1"/>
  <c r="F7" i="1" s="1"/>
  <c r="G7" i="1" s="1"/>
  <c r="A8" i="1" s="1"/>
  <c r="B8" i="1" s="1"/>
  <c r="C8" i="1" s="1"/>
  <c r="D8" i="1" s="1"/>
  <c r="E8" i="1" s="1"/>
  <c r="F8" i="1" s="1"/>
  <c r="G8" i="1" s="1"/>
  <c r="I4" i="1" l="1"/>
  <c r="J4" i="1" s="1"/>
  <c r="K4" i="1" s="1"/>
  <c r="L4" i="1" s="1"/>
  <c r="M4" i="1" s="1"/>
  <c r="N4" i="1" s="1"/>
  <c r="O4" i="1" s="1"/>
  <c r="I5" i="1" s="1"/>
  <c r="J5" i="1" s="1"/>
  <c r="K5" i="1" s="1"/>
  <c r="L5" i="1" s="1"/>
  <c r="M5" i="1" s="1"/>
  <c r="N5" i="1" s="1"/>
  <c r="O5" i="1" s="1"/>
  <c r="I6" i="1" s="1"/>
  <c r="J6" i="1" s="1"/>
  <c r="K6" i="1" s="1"/>
  <c r="L6" i="1" s="1"/>
  <c r="M6" i="1" s="1"/>
  <c r="N6" i="1" s="1"/>
  <c r="O6" i="1" s="1"/>
  <c r="I7" i="1" s="1"/>
  <c r="J7" i="1" s="1"/>
  <c r="K7" i="1" s="1"/>
  <c r="L7" i="1" s="1"/>
  <c r="M7" i="1" s="1"/>
  <c r="N7" i="1" s="1"/>
  <c r="O7" i="1" s="1"/>
  <c r="I8" i="1" s="1"/>
  <c r="J8" i="1" s="1"/>
  <c r="K8" i="1" s="1"/>
  <c r="L8" i="1" s="1"/>
  <c r="M8" i="1" s="1"/>
  <c r="N8" i="1" s="1"/>
  <c r="O8" i="1" s="1"/>
  <c r="Z4" i="1"/>
  <c r="AA4" i="1" s="1"/>
  <c r="AB4" i="1" s="1"/>
  <c r="AC4" i="1" s="1"/>
  <c r="AD4" i="1" s="1"/>
  <c r="AE4" i="1" s="1"/>
  <c r="Y5" i="1" l="1"/>
  <c r="Z5" i="1" s="1"/>
  <c r="AA5" i="1" s="1"/>
  <c r="AB5" i="1" s="1"/>
  <c r="AC5" i="1" s="1"/>
  <c r="AD5" i="1" s="1"/>
  <c r="AE5" i="1" s="1"/>
  <c r="Y6" i="1" s="1"/>
  <c r="Z6" i="1" s="1"/>
  <c r="AA6" i="1" s="1"/>
  <c r="AB6" i="1" s="1"/>
  <c r="AC6" i="1" s="1"/>
  <c r="AD6" i="1" s="1"/>
  <c r="AE6" i="1" s="1"/>
  <c r="Y7" i="1" s="1"/>
  <c r="Z7" i="1" s="1"/>
  <c r="AA7" i="1" s="1"/>
  <c r="AB7" i="1" s="1"/>
  <c r="AC7" i="1" s="1"/>
  <c r="AD7" i="1" s="1"/>
  <c r="AE7" i="1" s="1"/>
  <c r="Y8" i="1" s="1"/>
  <c r="Z8" i="1" s="1"/>
  <c r="AA8" i="1" s="1"/>
  <c r="AB8" i="1" s="1"/>
  <c r="AC8" i="1" s="1"/>
  <c r="AD8" i="1" s="1"/>
  <c r="AE8" i="1" s="1"/>
</calcChain>
</file>

<file path=xl/sharedStrings.xml><?xml version="1.0" encoding="utf-8"?>
<sst xmlns="http://schemas.openxmlformats.org/spreadsheetml/2006/main" count="417" uniqueCount="216">
  <si>
    <t>Minggu</t>
  </si>
  <si>
    <t>Senin</t>
  </si>
  <si>
    <t>Selasa</t>
  </si>
  <si>
    <t>Rabu</t>
  </si>
  <si>
    <t>Kamis</t>
  </si>
  <si>
    <t>Jumat</t>
  </si>
  <si>
    <t>Sabtu</t>
  </si>
  <si>
    <t>27 Awal PBM 2026/2027</t>
  </si>
  <si>
    <t>16 Rapat Persiapan PBM</t>
  </si>
  <si>
    <t xml:space="preserve">17 Rapat RAKL dan Evaluasi UKOM </t>
  </si>
  <si>
    <t>21- 25 UTS</t>
  </si>
  <si>
    <t>10 Rapat Penentuan Pembimbing Penguji KTI</t>
  </si>
  <si>
    <t>16-20 UAS</t>
  </si>
  <si>
    <t>30 Batas Input Nilai Siakad</t>
  </si>
  <si>
    <t>23-27 Remedial</t>
  </si>
  <si>
    <t>02 Rapat Evaluasi PBM dan Persiapan OSCE</t>
  </si>
  <si>
    <t>11 Rapat Koordinasi OSCE + briefing</t>
  </si>
  <si>
    <t>14-17 Pelaksanaan OSCE</t>
  </si>
  <si>
    <t>07 Rapat Persiapan PBM</t>
  </si>
  <si>
    <t>22-26 UTS</t>
  </si>
  <si>
    <t>31 Rapat Monev Dosen dan Tendik</t>
  </si>
  <si>
    <t>26 Batas Input Nilai Siakad</t>
  </si>
  <si>
    <t>31 mei - 4 Juni UAS</t>
  </si>
  <si>
    <t>01 - 27 PKL JURUSAN gel.2</t>
  </si>
  <si>
    <t>10 Wisuda</t>
  </si>
  <si>
    <t>15-19 Pembekalan PKL</t>
  </si>
  <si>
    <t>22 Maret - 3 April PKL Terpadu</t>
  </si>
  <si>
    <t>25 Batas KTI</t>
  </si>
  <si>
    <t>29 Rapat Evaluasi PBM dan Peserta UKOM</t>
  </si>
  <si>
    <t>27 juli - 1 Agustus PORNIMAKES</t>
  </si>
  <si>
    <t>29 Kuliah Tamu PJ Aswiro (Hematologi)</t>
  </si>
  <si>
    <t>30 Persiapan Honor dosen dan instruktur</t>
  </si>
  <si>
    <t>06 Kuliah Tamu PJ Bu Ratih</t>
  </si>
  <si>
    <t>30 Berkas fixed penguji-pembimbing</t>
  </si>
  <si>
    <t>Oktober-November Bimbingan Proposal</t>
  </si>
  <si>
    <t>November-Desember Ujian Proposal</t>
  </si>
  <si>
    <t>Januari Urus Izin Penelitian</t>
  </si>
  <si>
    <t>03 war KTI</t>
  </si>
  <si>
    <t>NO.</t>
  </si>
  <si>
    <t>KEGIATAN</t>
  </si>
  <si>
    <t>WAKTU</t>
  </si>
  <si>
    <t>A.</t>
  </si>
  <si>
    <t>SPMB</t>
  </si>
  <si>
    <t>Pendaftaran Calon Maba</t>
  </si>
  <si>
    <t>Mei – Juni 2026</t>
  </si>
  <si>
    <r>
      <rPr>
        <sz val="11"/>
        <color rgb="FF000000"/>
        <rFont val="Bookman Old Style"/>
        <family val="1"/>
      </rPr>
      <t>P</t>
    </r>
    <r>
      <rPr>
        <sz val="11"/>
        <color rgb="FF000000"/>
        <rFont val="Bookman Old Style"/>
        <family val="1"/>
      </rPr>
      <t>eng</t>
    </r>
    <r>
      <rPr>
        <sz val="11"/>
        <color rgb="FF000000"/>
        <rFont val="Bookman Old Style"/>
        <family val="1"/>
      </rPr>
      <t>e</t>
    </r>
    <r>
      <rPr>
        <sz val="11"/>
        <color rgb="FF000000"/>
        <rFont val="Bookman Old Style"/>
        <family val="1"/>
      </rPr>
      <t>nalan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K</t>
    </r>
    <r>
      <rPr>
        <sz val="11"/>
        <color rgb="FF000000"/>
        <rFont val="Bookman Old Style"/>
        <family val="1"/>
      </rPr>
      <t>e</t>
    </r>
    <r>
      <rPr>
        <sz val="11"/>
        <color rgb="FF000000"/>
        <rFont val="Bookman Old Style"/>
        <family val="1"/>
      </rPr>
      <t>hidupan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K</t>
    </r>
    <r>
      <rPr>
        <sz val="11"/>
        <color rgb="FF000000"/>
        <rFont val="Bookman Old Style"/>
        <family val="1"/>
      </rPr>
      <t>a</t>
    </r>
    <r>
      <rPr>
        <sz val="11"/>
        <color rgb="FF000000"/>
        <rFont val="Bookman Old Style"/>
        <family val="1"/>
      </rPr>
      <t xml:space="preserve">mpus
</t>
    </r>
    <r>
      <rPr>
        <sz val="11"/>
        <color rgb="FF000000"/>
        <rFont val="Bookman Old Style"/>
        <family val="1"/>
      </rPr>
      <t>M</t>
    </r>
    <r>
      <rPr>
        <sz val="11"/>
        <color rgb="FF000000"/>
        <rFont val="Bookman Old Style"/>
        <family val="1"/>
      </rPr>
      <t>aha</t>
    </r>
    <r>
      <rPr>
        <sz val="11"/>
        <color rgb="FF000000"/>
        <rFont val="Bookman Old Style"/>
        <family val="1"/>
      </rPr>
      <t>s</t>
    </r>
    <r>
      <rPr>
        <sz val="11"/>
        <color rgb="FF000000"/>
        <rFont val="Bookman Old Style"/>
        <family val="1"/>
      </rPr>
      <t>iswa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Baru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(P</t>
    </r>
    <r>
      <rPr>
        <sz val="11"/>
        <color rgb="FF000000"/>
        <rFont val="Bookman Old Style"/>
        <family val="1"/>
      </rPr>
      <t>K</t>
    </r>
    <r>
      <rPr>
        <sz val="11"/>
        <color rgb="FF000000"/>
        <rFont val="Bookman Old Style"/>
        <family val="1"/>
      </rPr>
      <t>K</t>
    </r>
    <r>
      <rPr>
        <sz val="11"/>
        <color rgb="FF000000"/>
        <rFont val="Bookman Old Style"/>
        <family val="1"/>
      </rPr>
      <t>M</t>
    </r>
    <r>
      <rPr>
        <sz val="11"/>
        <color rgb="FF000000"/>
        <rFont val="Bookman Old Style"/>
        <family val="1"/>
      </rPr>
      <t>B)</t>
    </r>
  </si>
  <si>
    <t>7 – 9 Juli 2026</t>
  </si>
  <si>
    <r>
      <rPr>
        <sz val="11"/>
        <color rgb="FF000000"/>
        <rFont val="Bookman Old Style"/>
        <family val="1"/>
      </rPr>
      <t>L</t>
    </r>
    <r>
      <rPr>
        <sz val="11"/>
        <color rgb="FF000000"/>
        <rFont val="Bookman Old Style"/>
        <family val="1"/>
      </rPr>
      <t>atihan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Da</t>
    </r>
    <r>
      <rPr>
        <sz val="11"/>
        <color rgb="FF000000"/>
        <rFont val="Bookman Old Style"/>
        <family val="1"/>
      </rPr>
      <t>s</t>
    </r>
    <r>
      <rPr>
        <sz val="11"/>
        <color rgb="FF000000"/>
        <rFont val="Bookman Old Style"/>
        <family val="1"/>
      </rPr>
      <t>ar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K</t>
    </r>
    <r>
      <rPr>
        <sz val="11"/>
        <color rgb="FF000000"/>
        <rFont val="Bookman Old Style"/>
        <family val="1"/>
      </rPr>
      <t>e</t>
    </r>
    <r>
      <rPr>
        <sz val="11"/>
        <color rgb="FF000000"/>
        <rFont val="Bookman Old Style"/>
        <family val="1"/>
      </rPr>
      <t>pe</t>
    </r>
    <r>
      <rPr>
        <sz val="11"/>
        <color rgb="FF000000"/>
        <rFont val="Bookman Old Style"/>
        <family val="1"/>
      </rPr>
      <t>m</t>
    </r>
    <r>
      <rPr>
        <sz val="11"/>
        <color rgb="FF000000"/>
        <rFont val="Bookman Old Style"/>
        <family val="1"/>
      </rPr>
      <t xml:space="preserve">impinan
</t>
    </r>
    <r>
      <rPr>
        <sz val="11"/>
        <color rgb="FF000000"/>
        <rFont val="Bookman Old Style"/>
        <family val="1"/>
      </rPr>
      <t>(</t>
    </r>
    <r>
      <rPr>
        <sz val="11"/>
        <color rgb="FF000000"/>
        <rFont val="Bookman Old Style"/>
        <family val="1"/>
      </rPr>
      <t>LDK)</t>
    </r>
  </si>
  <si>
    <t>10 - 11 Juli 2026</t>
  </si>
  <si>
    <t>B.</t>
  </si>
  <si>
    <t>SEMESTER GASAL</t>
  </si>
  <si>
    <r>
      <rPr>
        <sz val="11"/>
        <color rgb="FF000000"/>
        <rFont val="Bookman Old Style"/>
        <family val="1"/>
      </rPr>
      <t>Pemb</t>
    </r>
    <r>
      <rPr>
        <sz val="11"/>
        <color rgb="FF000000"/>
        <rFont val="Bookman Old Style"/>
        <family val="1"/>
      </rPr>
      <t>a</t>
    </r>
    <r>
      <rPr>
        <sz val="11"/>
        <color rgb="FF000000"/>
        <rFont val="Bookman Old Style"/>
        <family val="1"/>
      </rPr>
      <t>ya</t>
    </r>
    <r>
      <rPr>
        <sz val="11"/>
        <color rgb="FF000000"/>
        <rFont val="Bookman Old Style"/>
        <family val="1"/>
      </rPr>
      <t>r</t>
    </r>
    <r>
      <rPr>
        <sz val="11"/>
        <color rgb="FF000000"/>
        <rFont val="Bookman Old Style"/>
        <family val="1"/>
      </rPr>
      <t>an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U</t>
    </r>
    <r>
      <rPr>
        <sz val="11"/>
        <color rgb="FF000000"/>
        <rFont val="Bookman Old Style"/>
        <family val="1"/>
      </rPr>
      <t>ang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K</t>
    </r>
    <r>
      <rPr>
        <sz val="11"/>
        <color rgb="FF000000"/>
        <rFont val="Bookman Old Style"/>
        <family val="1"/>
      </rPr>
      <t>u</t>
    </r>
    <r>
      <rPr>
        <sz val="11"/>
        <color rgb="FF000000"/>
        <rFont val="Bookman Old Style"/>
        <family val="1"/>
      </rPr>
      <t>liah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T</t>
    </r>
    <r>
      <rPr>
        <sz val="11"/>
        <color rgb="FF000000"/>
        <rFont val="Bookman Old Style"/>
        <family val="1"/>
      </rPr>
      <t>u</t>
    </r>
    <r>
      <rPr>
        <sz val="11"/>
        <color rgb="FF000000"/>
        <rFont val="Bookman Old Style"/>
        <family val="1"/>
      </rPr>
      <t>n</t>
    </r>
    <r>
      <rPr>
        <sz val="11"/>
        <color rgb="FF000000"/>
        <rFont val="Bookman Old Style"/>
        <family val="1"/>
      </rPr>
      <t>g</t>
    </r>
    <r>
      <rPr>
        <sz val="11"/>
        <color rgb="FF000000"/>
        <rFont val="Bookman Old Style"/>
        <family val="1"/>
      </rPr>
      <t>gal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 xml:space="preserve">(UKT)
</t>
    </r>
    <r>
      <rPr>
        <sz val="11"/>
        <color rgb="FF000000"/>
        <rFont val="Bookman Old Style"/>
        <family val="1"/>
      </rPr>
      <t>Mahsis</t>
    </r>
    <r>
      <rPr>
        <sz val="11"/>
        <color rgb="FF000000"/>
        <rFont val="Bookman Old Style"/>
        <family val="1"/>
      </rPr>
      <t>w</t>
    </r>
    <r>
      <rPr>
        <sz val="11"/>
        <color rgb="FF000000"/>
        <rFont val="Bookman Old Style"/>
        <family val="1"/>
      </rPr>
      <t>a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B</t>
    </r>
    <r>
      <rPr>
        <sz val="11"/>
        <color rgb="FF000000"/>
        <rFont val="Bookman Old Style"/>
        <family val="1"/>
      </rPr>
      <t>a</t>
    </r>
    <r>
      <rPr>
        <sz val="11"/>
        <color rgb="FF000000"/>
        <rFont val="Bookman Old Style"/>
        <family val="1"/>
      </rPr>
      <t>ru</t>
    </r>
  </si>
  <si>
    <t>Sampai 30 Juni  2026</t>
  </si>
  <si>
    <r>
      <rPr>
        <sz val="11"/>
        <color rgb="FF000000"/>
        <rFont val="Bookman Old Style"/>
        <family val="1"/>
      </rPr>
      <t>Pemb</t>
    </r>
    <r>
      <rPr>
        <sz val="11"/>
        <color rgb="FF000000"/>
        <rFont val="Bookman Old Style"/>
        <family val="1"/>
      </rPr>
      <t>a</t>
    </r>
    <r>
      <rPr>
        <sz val="11"/>
        <color rgb="FF000000"/>
        <rFont val="Bookman Old Style"/>
        <family val="1"/>
      </rPr>
      <t>ya</t>
    </r>
    <r>
      <rPr>
        <sz val="11"/>
        <color rgb="FF000000"/>
        <rFont val="Bookman Old Style"/>
        <family val="1"/>
      </rPr>
      <t>r</t>
    </r>
    <r>
      <rPr>
        <sz val="11"/>
        <color rgb="FF000000"/>
        <rFont val="Bookman Old Style"/>
        <family val="1"/>
      </rPr>
      <t>an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U</t>
    </r>
    <r>
      <rPr>
        <sz val="11"/>
        <color rgb="FF000000"/>
        <rFont val="Bookman Old Style"/>
        <family val="1"/>
      </rPr>
      <t>ang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K</t>
    </r>
    <r>
      <rPr>
        <sz val="11"/>
        <color rgb="FF000000"/>
        <rFont val="Bookman Old Style"/>
        <family val="1"/>
      </rPr>
      <t>u</t>
    </r>
    <r>
      <rPr>
        <sz val="11"/>
        <color rgb="FF000000"/>
        <rFont val="Bookman Old Style"/>
        <family val="1"/>
      </rPr>
      <t>liah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T</t>
    </r>
    <r>
      <rPr>
        <sz val="11"/>
        <color rgb="FF000000"/>
        <rFont val="Bookman Old Style"/>
        <family val="1"/>
      </rPr>
      <t>u</t>
    </r>
    <r>
      <rPr>
        <sz val="11"/>
        <color rgb="FF000000"/>
        <rFont val="Bookman Old Style"/>
        <family val="1"/>
      </rPr>
      <t>n</t>
    </r>
    <r>
      <rPr>
        <sz val="11"/>
        <color rgb="FF000000"/>
        <rFont val="Bookman Old Style"/>
        <family val="1"/>
      </rPr>
      <t>g</t>
    </r>
    <r>
      <rPr>
        <sz val="11"/>
        <color rgb="FF000000"/>
        <rFont val="Bookman Old Style"/>
        <family val="1"/>
      </rPr>
      <t>gal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 xml:space="preserve">(UKT)
</t>
    </r>
    <r>
      <rPr>
        <sz val="11"/>
        <color rgb="FF000000"/>
        <rFont val="Bookman Old Style"/>
        <family val="1"/>
      </rPr>
      <t>Mah</t>
    </r>
    <r>
      <rPr>
        <sz val="11"/>
        <color rgb="FF000000"/>
        <rFont val="Bookman Old Style"/>
        <family val="1"/>
      </rPr>
      <t>a</t>
    </r>
    <r>
      <rPr>
        <sz val="11"/>
        <color rgb="FF000000"/>
        <rFont val="Bookman Old Style"/>
        <family val="1"/>
      </rPr>
      <t>si</t>
    </r>
    <r>
      <rPr>
        <sz val="11"/>
        <color rgb="FF000000"/>
        <rFont val="Bookman Old Style"/>
        <family val="1"/>
      </rPr>
      <t>s</t>
    </r>
    <r>
      <rPr>
        <sz val="11"/>
        <color rgb="FF000000"/>
        <rFont val="Bookman Old Style"/>
        <family val="1"/>
      </rPr>
      <t>wa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l</t>
    </r>
    <r>
      <rPr>
        <sz val="11"/>
        <color rgb="FF000000"/>
        <rFont val="Bookman Old Style"/>
        <family val="1"/>
      </rPr>
      <t>a</t>
    </r>
    <r>
      <rPr>
        <sz val="11"/>
        <color rgb="FF000000"/>
        <rFont val="Bookman Old Style"/>
        <family val="1"/>
      </rPr>
      <t>ma</t>
    </r>
  </si>
  <si>
    <t>1 - 26 Juli  2026</t>
  </si>
  <si>
    <t>Try Out Internal UKOM</t>
  </si>
  <si>
    <t>Juli-Agustus 2026</t>
  </si>
  <si>
    <t>Registrasi/ Pengisian KRS</t>
  </si>
  <si>
    <t>Pengurusan cuti</t>
  </si>
  <si>
    <t>Pengusulan SK Mengajar dan Praktium</t>
  </si>
  <si>
    <t>20 – 23 Juli  2026</t>
  </si>
  <si>
    <r>
      <rPr>
        <sz val="11"/>
        <color rgb="FF000000"/>
        <rFont val="Bookman Old Style"/>
        <family val="1"/>
      </rPr>
      <t>P</t>
    </r>
    <r>
      <rPr>
        <sz val="11"/>
        <color rgb="FF000000"/>
        <rFont val="Bookman Old Style"/>
        <family val="1"/>
      </rPr>
      <t>enerbitan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SK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M</t>
    </r>
    <r>
      <rPr>
        <sz val="11"/>
        <color rgb="FF000000"/>
        <rFont val="Bookman Old Style"/>
        <family val="1"/>
      </rPr>
      <t>e</t>
    </r>
    <r>
      <rPr>
        <sz val="11"/>
        <color rgb="FF000000"/>
        <rFont val="Bookman Old Style"/>
        <family val="1"/>
      </rPr>
      <t>ngajar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S</t>
    </r>
    <r>
      <rPr>
        <sz val="11"/>
        <color rgb="FF000000"/>
        <rFont val="Bookman Old Style"/>
        <family val="1"/>
      </rPr>
      <t>e</t>
    </r>
    <r>
      <rPr>
        <sz val="11"/>
        <color rgb="FF000000"/>
        <rFont val="Bookman Old Style"/>
        <family val="1"/>
      </rPr>
      <t>m</t>
    </r>
    <r>
      <rPr>
        <sz val="11"/>
        <color rgb="FF000000"/>
        <rFont val="Bookman Old Style"/>
        <family val="1"/>
      </rPr>
      <t>e</t>
    </r>
    <r>
      <rPr>
        <sz val="11"/>
        <color rgb="FF000000"/>
        <rFont val="Bookman Old Style"/>
        <family val="1"/>
      </rPr>
      <t>s</t>
    </r>
    <r>
      <rPr>
        <sz val="11"/>
        <color rgb="FF000000"/>
        <rFont val="Bookman Old Style"/>
        <family val="1"/>
      </rPr>
      <t xml:space="preserve">-
</t>
    </r>
    <r>
      <rPr>
        <sz val="11"/>
        <color rgb="FF000000"/>
        <rFont val="Bookman Old Style"/>
        <family val="1"/>
      </rPr>
      <t>t</t>
    </r>
    <r>
      <rPr>
        <sz val="11"/>
        <color rgb="FF000000"/>
        <rFont val="Bookman Old Style"/>
        <family val="1"/>
      </rPr>
      <t>e</t>
    </r>
    <r>
      <rPr>
        <sz val="11"/>
        <color rgb="FF000000"/>
        <rFont val="Bookman Old Style"/>
        <family val="1"/>
      </rPr>
      <t>r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Ga</t>
    </r>
    <r>
      <rPr>
        <sz val="11"/>
        <color rgb="FF000000"/>
        <rFont val="Bookman Old Style"/>
        <family val="1"/>
      </rPr>
      <t>s</t>
    </r>
    <r>
      <rPr>
        <sz val="11"/>
        <color rgb="FF000000"/>
        <rFont val="Bookman Old Style"/>
        <family val="1"/>
      </rPr>
      <t>al</t>
    </r>
  </si>
  <si>
    <t>24 Juli  2026</t>
  </si>
  <si>
    <t>Penerbitan SK Mahasiswa Aktif</t>
  </si>
  <si>
    <t>27 Juli  2026</t>
  </si>
  <si>
    <r>
      <rPr>
        <sz val="11"/>
        <color rgb="FF000000"/>
        <rFont val="Bookman Old Style"/>
        <family val="1"/>
      </rPr>
      <t>A</t>
    </r>
    <r>
      <rPr>
        <sz val="11"/>
        <color rgb="FF000000"/>
        <rFont val="Bookman Old Style"/>
        <family val="1"/>
      </rPr>
      <t>wal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P</t>
    </r>
    <r>
      <rPr>
        <sz val="11"/>
        <color rgb="FF000000"/>
        <rFont val="Bookman Old Style"/>
        <family val="1"/>
      </rPr>
      <t>r</t>
    </r>
    <r>
      <rPr>
        <sz val="11"/>
        <color rgb="FF000000"/>
        <rFont val="Bookman Old Style"/>
        <family val="1"/>
      </rPr>
      <t>o</t>
    </r>
    <r>
      <rPr>
        <sz val="11"/>
        <color rgb="FF000000"/>
        <rFont val="Bookman Old Style"/>
        <family val="1"/>
      </rPr>
      <t>s</t>
    </r>
    <r>
      <rPr>
        <sz val="11"/>
        <color rgb="FF000000"/>
        <rFont val="Bookman Old Style"/>
        <family val="1"/>
      </rPr>
      <t>es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Belajar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Men</t>
    </r>
    <r>
      <rPr>
        <sz val="11"/>
        <color rgb="FF000000"/>
        <rFont val="Bookman Old Style"/>
        <family val="1"/>
      </rPr>
      <t>g</t>
    </r>
    <r>
      <rPr>
        <sz val="11"/>
        <color rgb="FF000000"/>
        <rFont val="Bookman Old Style"/>
        <family val="1"/>
      </rPr>
      <t>a</t>
    </r>
    <r>
      <rPr>
        <sz val="11"/>
        <color rgb="FF000000"/>
        <rFont val="Bookman Old Style"/>
        <family val="1"/>
      </rPr>
      <t xml:space="preserve">jar
</t>
    </r>
    <r>
      <rPr>
        <sz val="11"/>
        <color rgb="FF000000"/>
        <rFont val="Bookman Old Style"/>
        <family val="1"/>
      </rPr>
      <t>(</t>
    </r>
    <r>
      <rPr>
        <sz val="11"/>
        <color rgb="FF000000"/>
        <rFont val="Bookman Old Style"/>
        <family val="1"/>
      </rPr>
      <t>P</t>
    </r>
    <r>
      <rPr>
        <sz val="11"/>
        <color rgb="FF000000"/>
        <rFont val="Bookman Old Style"/>
        <family val="1"/>
      </rPr>
      <t>BM)</t>
    </r>
  </si>
  <si>
    <t>UKOMNAS Periode 2</t>
  </si>
  <si>
    <t>Ujian Tengah Semester (UTS)</t>
  </si>
  <si>
    <t>21 – 25 September 2026</t>
  </si>
  <si>
    <t>UKOMNAS Periode 3</t>
  </si>
  <si>
    <t>Ujian Akhir smester (UAS)</t>
  </si>
  <si>
    <t>16  - 20 November 2026</t>
  </si>
  <si>
    <t>Remedial</t>
  </si>
  <si>
    <t>23 – 27 November 2026</t>
  </si>
  <si>
    <t>Penginputan Nilai  SIAKAD</t>
  </si>
  <si>
    <t>28 - 30 November 2026</t>
  </si>
  <si>
    <t>Pengusulan Beasiswa Berprestasi</t>
  </si>
  <si>
    <t>1 – 3 Desember 2026</t>
  </si>
  <si>
    <t>Evaluasi PBM</t>
  </si>
  <si>
    <t>30 November – 4 Desember 2026</t>
  </si>
  <si>
    <t>Wisuda</t>
  </si>
  <si>
    <t>10 Desember 2026</t>
  </si>
  <si>
    <t>Libur Hari  Natal</t>
  </si>
  <si>
    <t>24 – 25 Desember 2026</t>
  </si>
  <si>
    <t>Libur Tahun Baru</t>
  </si>
  <si>
    <t>1 Januari 2027</t>
  </si>
  <si>
    <t>C.</t>
  </si>
  <si>
    <t>SEMESTER GENAP</t>
  </si>
  <si>
    <r>
      <rPr>
        <sz val="10"/>
        <color rgb="FF000000"/>
        <rFont val="Bookman Old Style"/>
        <family val="1"/>
      </rPr>
      <t>P</t>
    </r>
    <r>
      <rPr>
        <sz val="10"/>
        <color rgb="FF000000"/>
        <rFont val="Bookman Old Style"/>
        <family val="1"/>
      </rPr>
      <t>embayar</t>
    </r>
    <r>
      <rPr>
        <sz val="10"/>
        <color rgb="FF000000"/>
        <rFont val="Bookman Old Style"/>
        <family val="1"/>
      </rPr>
      <t>a</t>
    </r>
    <r>
      <rPr>
        <sz val="10"/>
        <color rgb="FF000000"/>
        <rFont val="Bookman Old Style"/>
        <family val="1"/>
      </rPr>
      <t>n</t>
    </r>
    <r>
      <rPr>
        <sz val="10"/>
        <color rgb="FF000000"/>
        <rFont val="Bookman Old Style"/>
        <family val="1"/>
      </rPr>
      <t xml:space="preserve"> </t>
    </r>
    <r>
      <rPr>
        <sz val="10"/>
        <color rgb="FF000000"/>
        <rFont val="Bookman Old Style"/>
        <family val="1"/>
      </rPr>
      <t>Uang</t>
    </r>
    <r>
      <rPr>
        <sz val="10"/>
        <color rgb="FF000000"/>
        <rFont val="Bookman Old Style"/>
        <family val="1"/>
      </rPr>
      <t xml:space="preserve"> </t>
    </r>
    <r>
      <rPr>
        <sz val="10"/>
        <color rgb="FF000000"/>
        <rFont val="Bookman Old Style"/>
        <family val="1"/>
      </rPr>
      <t>K</t>
    </r>
    <r>
      <rPr>
        <sz val="10"/>
        <color rgb="FF000000"/>
        <rFont val="Bookman Old Style"/>
        <family val="1"/>
      </rPr>
      <t>u</t>
    </r>
    <r>
      <rPr>
        <sz val="10"/>
        <color rgb="FF000000"/>
        <rFont val="Bookman Old Style"/>
        <family val="1"/>
      </rPr>
      <t>li</t>
    </r>
    <r>
      <rPr>
        <sz val="10"/>
        <color rgb="FF000000"/>
        <rFont val="Bookman Old Style"/>
        <family val="1"/>
      </rPr>
      <t>a</t>
    </r>
    <r>
      <rPr>
        <sz val="10"/>
        <color rgb="FF000000"/>
        <rFont val="Bookman Old Style"/>
        <family val="1"/>
      </rPr>
      <t>h</t>
    </r>
    <r>
      <rPr>
        <sz val="10"/>
        <color rgb="FF000000"/>
        <rFont val="Bookman Old Style"/>
        <family val="1"/>
      </rPr>
      <t xml:space="preserve"> </t>
    </r>
    <r>
      <rPr>
        <sz val="10"/>
        <color rgb="FF000000"/>
        <rFont val="Bookman Old Style"/>
        <family val="1"/>
      </rPr>
      <t>T</t>
    </r>
    <r>
      <rPr>
        <sz val="10"/>
        <color rgb="FF000000"/>
        <rFont val="Bookman Old Style"/>
        <family val="1"/>
      </rPr>
      <t xml:space="preserve">unggal
</t>
    </r>
    <r>
      <rPr>
        <sz val="10"/>
        <color rgb="FF000000"/>
        <rFont val="Bookman Old Style"/>
        <family val="1"/>
      </rPr>
      <t>(</t>
    </r>
    <r>
      <rPr>
        <sz val="10"/>
        <color rgb="FF000000"/>
        <rFont val="Bookman Old Style"/>
        <family val="1"/>
      </rPr>
      <t>U</t>
    </r>
    <r>
      <rPr>
        <sz val="10"/>
        <color rgb="FF000000"/>
        <rFont val="Bookman Old Style"/>
        <family val="1"/>
      </rPr>
      <t>K</t>
    </r>
    <r>
      <rPr>
        <sz val="10"/>
        <color rgb="FF000000"/>
        <rFont val="Bookman Old Style"/>
        <family val="1"/>
      </rPr>
      <t>T)</t>
    </r>
  </si>
  <si>
    <t>1 – 24  Januari 2027</t>
  </si>
  <si>
    <t>Registrasi/Pengisian KRS</t>
  </si>
  <si>
    <t>1 – 24 Januari 2027</t>
  </si>
  <si>
    <t>Pengurusan Cuti</t>
  </si>
  <si>
    <t>12 – 18 Januari 2027</t>
  </si>
  <si>
    <t>22 Januari 2027</t>
  </si>
  <si>
    <t>Penerbitan SK  Mahasiswa Aktif</t>
  </si>
  <si>
    <t>25 Januari 2027</t>
  </si>
  <si>
    <t>Libur Hari raya Idul Fitri</t>
  </si>
  <si>
    <t>8 – 12 Maret 2027</t>
  </si>
  <si>
    <t>UKOMNAS Periode 1</t>
  </si>
  <si>
    <t>Maret-April 2027</t>
  </si>
  <si>
    <r>
      <rPr>
        <sz val="11"/>
        <color rgb="FF000000"/>
        <rFont val="Bookman Old Style"/>
        <family val="1"/>
      </rPr>
      <t>P</t>
    </r>
    <r>
      <rPr>
        <sz val="11"/>
        <color rgb="FF000000"/>
        <rFont val="Bookman Old Style"/>
        <family val="1"/>
      </rPr>
      <t>e</t>
    </r>
    <r>
      <rPr>
        <sz val="11"/>
        <color rgb="FF000000"/>
        <rFont val="Bookman Old Style"/>
        <family val="1"/>
      </rPr>
      <t>m</t>
    </r>
    <r>
      <rPr>
        <sz val="11"/>
        <color rgb="FF000000"/>
        <rFont val="Bookman Old Style"/>
        <family val="1"/>
      </rPr>
      <t>b</t>
    </r>
    <r>
      <rPr>
        <sz val="11"/>
        <color rgb="FF000000"/>
        <rFont val="Bookman Old Style"/>
        <family val="1"/>
      </rPr>
      <t>e</t>
    </r>
    <r>
      <rPr>
        <sz val="11"/>
        <color rgb="FF000000"/>
        <rFont val="Bookman Old Style"/>
        <family val="1"/>
      </rPr>
      <t>k</t>
    </r>
    <r>
      <rPr>
        <sz val="11"/>
        <color rgb="FF000000"/>
        <rFont val="Bookman Old Style"/>
        <family val="1"/>
      </rPr>
      <t>alan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P</t>
    </r>
    <r>
      <rPr>
        <sz val="11"/>
        <color rgb="FF000000"/>
        <rFont val="Bookman Old Style"/>
        <family val="1"/>
      </rPr>
      <t>KL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Terpadu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(</t>
    </r>
    <r>
      <rPr>
        <sz val="11"/>
        <color rgb="FF000000"/>
        <rFont val="Bookman Old Style"/>
        <family val="1"/>
      </rPr>
      <t>I</t>
    </r>
    <r>
      <rPr>
        <sz val="11"/>
        <color rgb="FF000000"/>
        <rFont val="Bookman Old Style"/>
        <family val="1"/>
      </rPr>
      <t xml:space="preserve">PE/
</t>
    </r>
    <r>
      <rPr>
        <sz val="11"/>
        <color rgb="FF000000"/>
        <rFont val="Bookman Old Style"/>
        <family val="1"/>
      </rPr>
      <t>I</t>
    </r>
    <r>
      <rPr>
        <sz val="11"/>
        <color rgb="FF000000"/>
        <rFont val="Bookman Old Style"/>
        <family val="1"/>
      </rPr>
      <t>PC)</t>
    </r>
  </si>
  <si>
    <t>15 – 19 Maret 2027</t>
  </si>
  <si>
    <t>PKL Terpadu (IPE/IPC)</t>
  </si>
  <si>
    <t>22 Maret – 3 April  2027</t>
  </si>
  <si>
    <t>22 – 26 Maret  2027</t>
  </si>
  <si>
    <t>Dies Natalis Poltekkes</t>
  </si>
  <si>
    <t>16 April  2027</t>
  </si>
  <si>
    <t>Ujian Akhir Smester (UAS)</t>
  </si>
  <si>
    <t>31 Mei  – 4 Juni  2027</t>
  </si>
  <si>
    <t>7 – 20  Juni  2027</t>
  </si>
  <si>
    <t>Penginputan Nilai SIAKAD</t>
  </si>
  <si>
    <t>21 – 26 Juni  2027</t>
  </si>
  <si>
    <t>28  – 29  Juni  2027</t>
  </si>
  <si>
    <r>
      <rPr>
        <sz val="11"/>
        <color rgb="FF000000"/>
        <rFont val="Bookman Old Style"/>
        <family val="1"/>
      </rPr>
      <t>T</t>
    </r>
    <r>
      <rPr>
        <sz val="11"/>
        <color rgb="FF000000"/>
        <rFont val="Bookman Old Style"/>
        <family val="1"/>
      </rPr>
      <t>r</t>
    </r>
    <r>
      <rPr>
        <sz val="11"/>
        <color rgb="FF000000"/>
        <rFont val="Bookman Old Style"/>
        <family val="1"/>
      </rPr>
      <t>y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Out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N</t>
    </r>
    <r>
      <rPr>
        <sz val="11"/>
        <color rgb="FF000000"/>
        <rFont val="Bookman Old Style"/>
        <family val="1"/>
      </rPr>
      <t>a</t>
    </r>
    <r>
      <rPr>
        <sz val="11"/>
        <color rgb="FF000000"/>
        <rFont val="Bookman Old Style"/>
        <family val="1"/>
      </rPr>
      <t>sion</t>
    </r>
    <r>
      <rPr>
        <sz val="11"/>
        <color rgb="FF000000"/>
        <rFont val="Bookman Old Style"/>
        <family val="1"/>
      </rPr>
      <t>a</t>
    </r>
    <r>
      <rPr>
        <sz val="11"/>
        <color rgb="FF000000"/>
        <rFont val="Bookman Old Style"/>
        <family val="1"/>
      </rPr>
      <t>l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d</t>
    </r>
    <r>
      <rPr>
        <sz val="11"/>
        <color rgb="FF000000"/>
        <rFont val="Bookman Old Style"/>
        <family val="1"/>
      </rPr>
      <t>an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U</t>
    </r>
    <r>
      <rPr>
        <sz val="11"/>
        <color rgb="FF000000"/>
        <rFont val="Bookman Old Style"/>
        <family val="1"/>
      </rPr>
      <t>K</t>
    </r>
    <r>
      <rPr>
        <sz val="11"/>
        <color rgb="FF000000"/>
        <rFont val="Bookman Old Style"/>
        <family val="1"/>
      </rPr>
      <t>O</t>
    </r>
    <r>
      <rPr>
        <sz val="11"/>
        <color rgb="FF000000"/>
        <rFont val="Bookman Old Style"/>
        <family val="1"/>
      </rPr>
      <t>M</t>
    </r>
    <r>
      <rPr>
        <sz val="11"/>
        <color rgb="FF000000"/>
        <rFont val="Bookman Old Style"/>
        <family val="1"/>
      </rPr>
      <t>N</t>
    </r>
    <r>
      <rPr>
        <sz val="11"/>
        <color rgb="FF000000"/>
        <rFont val="Bookman Old Style"/>
        <family val="1"/>
      </rPr>
      <t>A</t>
    </r>
    <r>
      <rPr>
        <sz val="11"/>
        <color rgb="FF000000"/>
        <rFont val="Bookman Old Style"/>
        <family val="1"/>
      </rPr>
      <t>S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P</t>
    </r>
    <r>
      <rPr>
        <sz val="11"/>
        <color rgb="FF000000"/>
        <rFont val="Bookman Old Style"/>
        <family val="1"/>
      </rPr>
      <t>e</t>
    </r>
    <r>
      <rPr>
        <sz val="11"/>
        <color rgb="FF000000"/>
        <rFont val="Bookman Old Style"/>
        <family val="1"/>
      </rPr>
      <t>r</t>
    </r>
    <r>
      <rPr>
        <sz val="11"/>
        <color rgb="FF000000"/>
        <rFont val="Bookman Old Style"/>
        <family val="1"/>
      </rPr>
      <t>i</t>
    </r>
    <r>
      <rPr>
        <sz val="11"/>
        <color rgb="FF000000"/>
        <rFont val="Bookman Old Style"/>
        <family val="1"/>
      </rPr>
      <t>o</t>
    </r>
    <r>
      <rPr>
        <sz val="11"/>
        <color rgb="FF000000"/>
        <rFont val="Bookman Old Style"/>
        <family val="1"/>
      </rPr>
      <t>d</t>
    </r>
    <r>
      <rPr>
        <sz val="11"/>
        <color rgb="FF000000"/>
        <rFont val="Bookman Old Style"/>
        <family val="1"/>
      </rPr>
      <t>e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1</t>
    </r>
  </si>
  <si>
    <t>April  – Juni  2027</t>
  </si>
  <si>
    <t>Try Out  Internal</t>
  </si>
  <si>
    <t>Juli  – Agustus 2027</t>
  </si>
  <si>
    <t>UKOMNAS Periode 2 dan  3</t>
  </si>
  <si>
    <t>Juli  – November 2027</t>
  </si>
  <si>
    <t>NO</t>
  </si>
  <si>
    <t>TANGGAL</t>
  </si>
  <si>
    <t>HARI</t>
  </si>
  <si>
    <t>KETERANGAN</t>
  </si>
  <si>
    <t>16  Juni 2026</t>
  </si>
  <si>
    <t>Tahun Baru  Islam 1448  H</t>
  </si>
  <si>
    <t>17 Agustus 2026</t>
  </si>
  <si>
    <r>
      <rPr>
        <sz val="11"/>
        <color rgb="FF000000"/>
        <rFont val="Bookman Old Style"/>
        <family val="1"/>
      </rPr>
      <t>Hari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K</t>
    </r>
    <r>
      <rPr>
        <sz val="11"/>
        <color rgb="FF000000"/>
        <rFont val="Bookman Old Style"/>
        <family val="1"/>
      </rPr>
      <t>e</t>
    </r>
    <r>
      <rPr>
        <sz val="11"/>
        <color rgb="FF000000"/>
        <rFont val="Bookman Old Style"/>
        <family val="1"/>
      </rPr>
      <t>merd</t>
    </r>
    <r>
      <rPr>
        <sz val="11"/>
        <color rgb="FF000000"/>
        <rFont val="Bookman Old Style"/>
        <family val="1"/>
      </rPr>
      <t>e</t>
    </r>
    <r>
      <rPr>
        <sz val="11"/>
        <color rgb="FF000000"/>
        <rFont val="Bookman Old Style"/>
        <family val="1"/>
      </rPr>
      <t>kaan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R</t>
    </r>
    <r>
      <rPr>
        <sz val="11"/>
        <color rgb="FF000000"/>
        <rFont val="Bookman Old Style"/>
        <family val="1"/>
      </rPr>
      <t>e</t>
    </r>
    <r>
      <rPr>
        <sz val="11"/>
        <color rgb="FF000000"/>
        <rFont val="Bookman Old Style"/>
        <family val="1"/>
      </rPr>
      <t>publik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I</t>
    </r>
    <r>
      <rPr>
        <sz val="11"/>
        <color rgb="FF000000"/>
        <rFont val="Bookman Old Style"/>
        <family val="1"/>
      </rPr>
      <t>n</t>
    </r>
    <r>
      <rPr>
        <sz val="11"/>
        <color rgb="FF000000"/>
        <rFont val="Bookman Old Style"/>
        <family val="1"/>
      </rPr>
      <t>d</t>
    </r>
    <r>
      <rPr>
        <sz val="11"/>
        <color rgb="FF000000"/>
        <rFont val="Bookman Old Style"/>
        <family val="1"/>
      </rPr>
      <t>o</t>
    </r>
    <r>
      <rPr>
        <sz val="11"/>
        <color rgb="FF000000"/>
        <rFont val="Bookman Old Style"/>
        <family val="1"/>
      </rPr>
      <t>n</t>
    </r>
    <r>
      <rPr>
        <sz val="11"/>
        <color rgb="FF000000"/>
        <rFont val="Bookman Old Style"/>
        <family val="1"/>
      </rPr>
      <t>e</t>
    </r>
    <r>
      <rPr>
        <sz val="11"/>
        <color rgb="FF000000"/>
        <rFont val="Bookman Old Style"/>
        <family val="1"/>
      </rPr>
      <t xml:space="preserve">-
</t>
    </r>
    <r>
      <rPr>
        <sz val="11"/>
        <color rgb="FF000000"/>
        <rFont val="Bookman Old Style"/>
        <family val="1"/>
      </rPr>
      <t>s</t>
    </r>
    <r>
      <rPr>
        <sz val="11"/>
        <color rgb="FF000000"/>
        <rFont val="Bookman Old Style"/>
        <family val="1"/>
      </rPr>
      <t>i</t>
    </r>
    <r>
      <rPr>
        <sz val="11"/>
        <color rgb="FF000000"/>
        <rFont val="Bookman Old Style"/>
        <family val="1"/>
      </rPr>
      <t>a</t>
    </r>
  </si>
  <si>
    <t>25 Agustus 2026</t>
  </si>
  <si>
    <t>Maulid Nabi  Muhammad SAW</t>
  </si>
  <si>
    <t>24 Desember 2026</t>
  </si>
  <si>
    <t>Cuti  Bersama Hari  Raya  Natal</t>
  </si>
  <si>
    <t>25 Desember 2026</t>
  </si>
  <si>
    <t>Jum’at</t>
  </si>
  <si>
    <t>Hari  Raya  Natal</t>
  </si>
  <si>
    <t>Tahun Baru  Masehi</t>
  </si>
  <si>
    <t>5  Januari 2027</t>
  </si>
  <si>
    <t>Isra’  Mi’raj Nabi  Muhammad SAW</t>
  </si>
  <si>
    <t>6 Februari 2027</t>
  </si>
  <si>
    <t>Tahun Baru  Imlek</t>
  </si>
  <si>
    <t>9 Maret  2027</t>
  </si>
  <si>
    <t>Hari  Raya  Nyepi</t>
  </si>
  <si>
    <t>10 Maret  2027</t>
  </si>
  <si>
    <t>Hari  Raya  Idul  Fitri  1448  H</t>
  </si>
  <si>
    <t>11 Maret  2027</t>
  </si>
  <si>
    <r>
      <rPr>
        <sz val="11"/>
        <color rgb="FF000000"/>
        <rFont val="Bookman Old Style"/>
        <family val="1"/>
      </rPr>
      <t>Cuti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B</t>
    </r>
    <r>
      <rPr>
        <sz val="11"/>
        <color rgb="FF000000"/>
        <rFont val="Bookman Old Style"/>
        <family val="1"/>
      </rPr>
      <t>e</t>
    </r>
    <r>
      <rPr>
        <sz val="11"/>
        <color rgb="FF000000"/>
        <rFont val="Bookman Old Style"/>
        <family val="1"/>
      </rPr>
      <t>r</t>
    </r>
    <r>
      <rPr>
        <sz val="11"/>
        <color rgb="FF000000"/>
        <rFont val="Bookman Old Style"/>
        <family val="1"/>
      </rPr>
      <t>s</t>
    </r>
    <r>
      <rPr>
        <sz val="11"/>
        <color rgb="FF000000"/>
        <rFont val="Bookman Old Style"/>
        <family val="1"/>
      </rPr>
      <t>ama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Hari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R</t>
    </r>
    <r>
      <rPr>
        <sz val="11"/>
        <color rgb="FF000000"/>
        <rFont val="Bookman Old Style"/>
        <family val="1"/>
      </rPr>
      <t>a</t>
    </r>
    <r>
      <rPr>
        <sz val="11"/>
        <color rgb="FF000000"/>
        <rFont val="Bookman Old Style"/>
        <family val="1"/>
      </rPr>
      <t>ya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I</t>
    </r>
    <r>
      <rPr>
        <sz val="11"/>
        <color rgb="FF000000"/>
        <rFont val="Bookman Old Style"/>
        <family val="1"/>
      </rPr>
      <t>dul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F</t>
    </r>
    <r>
      <rPr>
        <sz val="11"/>
        <color rgb="FF000000"/>
        <rFont val="Bookman Old Style"/>
        <family val="1"/>
      </rPr>
      <t xml:space="preserve">itri
</t>
    </r>
    <r>
      <rPr>
        <sz val="11"/>
        <color rgb="FF000000"/>
        <rFont val="Bookman Old Style"/>
        <family val="1"/>
      </rPr>
      <t>1</t>
    </r>
    <r>
      <rPr>
        <sz val="11"/>
        <color rgb="FF000000"/>
        <rFont val="Bookman Old Style"/>
        <family val="1"/>
      </rPr>
      <t>448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 xml:space="preserve"> </t>
    </r>
    <r>
      <rPr>
        <sz val="11"/>
        <color rgb="FF000000"/>
        <rFont val="Bookman Old Style"/>
        <family val="1"/>
      </rPr>
      <t>H</t>
    </r>
  </si>
  <si>
    <t>26 Maret  2027</t>
  </si>
  <si>
    <t>Wafat Yesus Kristus</t>
  </si>
  <si>
    <t>1 Mei 2027</t>
  </si>
  <si>
    <t>Hari  Buruh</t>
  </si>
  <si>
    <t>6 Mei 2027</t>
  </si>
  <si>
    <t>Kenaikan Isa  Almasih</t>
  </si>
  <si>
    <t>17 Mei 2027</t>
  </si>
  <si>
    <t>Hari  Raya  Idul  Adha  1448  H</t>
  </si>
  <si>
    <t>20 Mei 2027</t>
  </si>
  <si>
    <t>Hari  Raya  Waisak</t>
  </si>
  <si>
    <t>1 Juni 2027</t>
  </si>
  <si>
    <t>Hari  Lahir Pancasila</t>
  </si>
  <si>
    <t>6 Juni 2027</t>
  </si>
  <si>
    <t>Ahad</t>
  </si>
  <si>
    <t>Tahun Baru  Islam 1449  H</t>
  </si>
  <si>
    <t>15 Agustus 2027</t>
  </si>
  <si>
    <t>17 Agustus 2027</t>
  </si>
  <si>
    <t>25 Desember 2027</t>
  </si>
  <si>
    <t>10 Yudisium I Poltekkes Kendari</t>
  </si>
  <si>
    <t>28 Yudisium II Poltekkes Kendari</t>
  </si>
  <si>
    <t>07 Yudisium III Poltekkes Kendari</t>
  </si>
  <si>
    <t>1-15  Oktober Penjajakan PKL</t>
  </si>
  <si>
    <t>16 Rapat Persiapan PKL Jurusan TLM</t>
  </si>
  <si>
    <t xml:space="preserve">30 Rapat Penjaminan Mutu Monev Dosen dan Instruktur </t>
  </si>
  <si>
    <t>14 Ukom  periode 3</t>
  </si>
  <si>
    <t>Rapat Penentuan Pembimbing Penguji KTI</t>
  </si>
  <si>
    <t xml:space="preserve">Yudisium I </t>
  </si>
  <si>
    <t>10 september 2026</t>
  </si>
  <si>
    <t>1-15 Oktober 2026</t>
  </si>
  <si>
    <t>Rapat Persiapan PKL Jurusan TLM</t>
  </si>
  <si>
    <t>Penjajakan PKL Jurusan TLM</t>
  </si>
  <si>
    <t>16 Oktober 2026</t>
  </si>
  <si>
    <t>Batas Pendaftaran UKOM Periode 3</t>
  </si>
  <si>
    <t>31 Oktober 2026</t>
  </si>
  <si>
    <t>14 November 2026</t>
  </si>
  <si>
    <t xml:space="preserve">Yudisium II </t>
  </si>
  <si>
    <t>28 November 2026</t>
  </si>
  <si>
    <t>Persiapan Honor Dosen dan Instruktur</t>
  </si>
  <si>
    <t>30 November 2026</t>
  </si>
  <si>
    <t>Oktober - November 2026</t>
  </si>
  <si>
    <t>November - Desember 2026</t>
  </si>
  <si>
    <t>Ujian Proposal Penelitian Angkatan 2024</t>
  </si>
  <si>
    <t>Bimbingan Proposal Penelitian Angkatan 2024</t>
  </si>
  <si>
    <t>Evaluasi PBM Jurusan TLM</t>
  </si>
  <si>
    <t>2 Desember 2026</t>
  </si>
  <si>
    <t>7 Desember 2026</t>
  </si>
  <si>
    <t>Yudisium III</t>
  </si>
  <si>
    <t xml:space="preserve">Rapat Koordinasi OSCE + briefing </t>
  </si>
  <si>
    <t>11 Desember 2026</t>
  </si>
  <si>
    <t>Pelaksanaan OSCE TLM</t>
  </si>
  <si>
    <t>14 -17 Desember 2026</t>
  </si>
  <si>
    <t>Rapat Persiapan PBM Jurusan TLM</t>
  </si>
  <si>
    <t>07 Januari 2026</t>
  </si>
  <si>
    <t>Pengusulan SK Mengajar dan Praktikum</t>
  </si>
  <si>
    <t>Penerbitan SK  Mengajar Semester genap
ter  Genap</t>
  </si>
  <si>
    <t>PKL Jurusan Gelombang 1</t>
  </si>
  <si>
    <t>04 - 30 PKL JURUSAN Gel.1</t>
  </si>
  <si>
    <t>04 - 30 Januari 2027</t>
  </si>
  <si>
    <t>PKL Jurusan Gelombang 2</t>
  </si>
  <si>
    <t>01 - 27 Februari 2027</t>
  </si>
  <si>
    <t>Kuliah Tamu Jurusan TLM</t>
  </si>
  <si>
    <t>29 Oktober 2026</t>
  </si>
  <si>
    <t>03 Mei mulai sidang KTI</t>
  </si>
  <si>
    <t>16 Dies Natalis</t>
  </si>
  <si>
    <t>06 Mei 2027</t>
  </si>
  <si>
    <t xml:space="preserve">Mulai Ujian KTI </t>
  </si>
  <si>
    <t>03 Mei 2027</t>
  </si>
  <si>
    <t>28 Juni 2027</t>
  </si>
  <si>
    <t>25 Awal PBM</t>
  </si>
  <si>
    <t>31 Batas Pendaftaran UKOM periode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</si>
</sst>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"/>
    <numFmt numFmtId="165" formatCode="dd"/>
  </numFmts>
  <fonts count="18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00B05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3"/>
      <color theme="4"/>
      <name val="Calibri"/>
      <family val="2"/>
      <scheme val="minor"/>
    </font>
    <font>
      <b/>
      <sz val="13"/>
      <color rgb="FF00B050"/>
      <name val="Calibri"/>
      <family val="2"/>
      <scheme val="minor"/>
    </font>
    <font>
      <b/>
      <sz val="13"/>
      <color theme="5"/>
      <name val="Calibri"/>
      <family val="2"/>
      <scheme val="minor"/>
    </font>
    <font>
      <b/>
      <sz val="13"/>
      <color rgb="FF0070C0"/>
      <name val="Calibri"/>
      <family val="2"/>
      <scheme val="minor"/>
    </font>
    <font>
      <b/>
      <sz val="13"/>
      <color rgb="FF7030A0"/>
      <name val="Calibri"/>
      <family val="2"/>
      <scheme val="minor"/>
    </font>
    <font>
      <sz val="11"/>
      <color rgb="FF000000"/>
      <name val="Bookman Old Style"/>
      <family val="1"/>
    </font>
    <font>
      <sz val="10"/>
      <color rgb="FF000000"/>
      <name val="Bookman Old Style"/>
      <family val="1"/>
    </font>
    <font>
      <b/>
      <sz val="11"/>
      <color rgb="FF000000"/>
      <name val="Bookman Old Style"/>
      <family val="1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5" borderId="0" xfId="0" applyNumberFormat="1" applyFont="1" applyFill="1" applyAlignment="1">
      <alignment horizontal="center"/>
    </xf>
    <xf numFmtId="165" fontId="2" fillId="6" borderId="0" xfId="0" applyNumberFormat="1" applyFont="1" applyFill="1" applyAlignment="1">
      <alignment horizontal="center"/>
    </xf>
    <xf numFmtId="165" fontId="5" fillId="5" borderId="0" xfId="0" applyNumberFormat="1" applyFont="1" applyFill="1" applyAlignment="1">
      <alignment horizontal="center"/>
    </xf>
    <xf numFmtId="165" fontId="2" fillId="7" borderId="0" xfId="0" applyNumberFormat="1" applyFont="1" applyFill="1" applyAlignment="1">
      <alignment horizontal="center"/>
    </xf>
    <xf numFmtId="165" fontId="2" fillId="8" borderId="0" xfId="0" applyNumberFormat="1" applyFont="1" applyFill="1" applyAlignment="1">
      <alignment horizontal="center"/>
    </xf>
    <xf numFmtId="165" fontId="0" fillId="12" borderId="0" xfId="0" applyNumberFormat="1" applyFill="1" applyAlignment="1">
      <alignment horizontal="center"/>
    </xf>
    <xf numFmtId="165" fontId="2" fillId="11" borderId="0" xfId="0" applyNumberFormat="1" applyFont="1" applyFill="1" applyAlignment="1">
      <alignment horizontal="center"/>
    </xf>
    <xf numFmtId="165" fontId="0" fillId="14" borderId="0" xfId="0" applyNumberFormat="1" applyFill="1" applyAlignment="1">
      <alignment horizontal="center"/>
    </xf>
    <xf numFmtId="165" fontId="2" fillId="10" borderId="0" xfId="0" applyNumberFormat="1" applyFont="1" applyFill="1" applyAlignment="1">
      <alignment horizontal="center"/>
    </xf>
    <xf numFmtId="165" fontId="2" fillId="9" borderId="0" xfId="0" applyNumberFormat="1" applyFont="1" applyFill="1" applyAlignment="1">
      <alignment horizontal="center"/>
    </xf>
    <xf numFmtId="165" fontId="5" fillId="11" borderId="0" xfId="0" applyNumberFormat="1" applyFont="1" applyFill="1" applyAlignment="1">
      <alignment horizontal="center"/>
    </xf>
    <xf numFmtId="165" fontId="5" fillId="6" borderId="0" xfId="0" applyNumberFormat="1" applyFont="1" applyFill="1" applyAlignment="1">
      <alignment horizontal="center"/>
    </xf>
    <xf numFmtId="165" fontId="2" fillId="13" borderId="0" xfId="0" applyNumberFormat="1" applyFont="1" applyFill="1" applyAlignment="1">
      <alignment horizontal="center"/>
    </xf>
    <xf numFmtId="165" fontId="2" fillId="14" borderId="0" xfId="0" applyNumberFormat="1" applyFont="1" applyFill="1" applyAlignment="1">
      <alignment horizontal="center"/>
    </xf>
    <xf numFmtId="165" fontId="2" fillId="12" borderId="0" xfId="0" applyNumberFormat="1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8" fillId="0" borderId="0" xfId="0" applyFont="1"/>
    <xf numFmtId="0" fontId="14" fillId="0" borderId="0" xfId="0" applyFont="1" applyAlignment="1">
      <alignment horizontal="left"/>
    </xf>
    <xf numFmtId="0" fontId="9" fillId="0" borderId="0" xfId="0" applyFont="1"/>
    <xf numFmtId="0" fontId="11" fillId="0" borderId="0" xfId="0" applyFont="1"/>
    <xf numFmtId="0" fontId="13" fillId="0" borderId="0" xfId="0" applyFont="1"/>
    <xf numFmtId="0" fontId="12" fillId="0" borderId="0" xfId="0" applyFont="1"/>
    <xf numFmtId="0" fontId="14" fillId="0" borderId="0" xfId="0" applyFont="1"/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vertical="top" wrapText="1"/>
    </xf>
    <xf numFmtId="0" fontId="16" fillId="0" borderId="1" xfId="0" applyFont="1" applyBorder="1" applyAlignment="1">
      <alignment vertical="top" wrapText="1"/>
    </xf>
    <xf numFmtId="0" fontId="4" fillId="4" borderId="0" xfId="0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5" fontId="2" fillId="0" borderId="0" xfId="0" applyNumberFormat="1" applyFont="1" applyFill="1" applyAlignment="1">
      <alignment horizontal="center"/>
    </xf>
    <xf numFmtId="49" fontId="15" fillId="0" borderId="1" xfId="0" applyNumberFormat="1" applyFont="1" applyBorder="1" applyAlignment="1">
      <alignment vertical="top"/>
    </xf>
    <xf numFmtId="49" fontId="15" fillId="0" borderId="1" xfId="0" applyNumberFormat="1" applyFont="1" applyBorder="1" applyAlignment="1">
      <alignment vertical="top" wrapText="1"/>
    </xf>
    <xf numFmtId="49" fontId="0" fillId="0" borderId="0" xfId="0" applyNumberFormat="1"/>
    <xf numFmtId="0" fontId="15" fillId="0" borderId="2" xfId="0" applyFont="1" applyFill="1" applyBorder="1" applyAlignment="1">
      <alignment vertical="top"/>
    </xf>
    <xf numFmtId="0" fontId="17" fillId="0" borderId="1" xfId="0" applyFont="1" applyBorder="1" applyAlignment="1">
      <alignment vertical="top"/>
    </xf>
    <xf numFmtId="49" fontId="17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86D4C-25C0-4C51-90EA-3208D4546284}">
  <dimension ref="A1:AU47"/>
  <sheetViews>
    <sheetView topLeftCell="B4" zoomScale="45" zoomScaleNormal="45" workbookViewId="0">
      <selection activeCell="Y23" sqref="Y23"/>
    </sheetView>
  </sheetViews>
  <sheetFormatPr defaultRowHeight="14.5" x14ac:dyDescent="0.35"/>
  <cols>
    <col min="1" max="1" width="9.36328125" bestFit="1" customWidth="1"/>
    <col min="8" max="8" width="4" customWidth="1"/>
    <col min="16" max="16" width="4" customWidth="1"/>
    <col min="24" max="24" width="4" customWidth="1"/>
    <col min="32" max="32" width="4" customWidth="1"/>
    <col min="40" max="40" width="4" customWidth="1"/>
  </cols>
  <sheetData>
    <row r="1" spans="1:47" ht="23.5" x14ac:dyDescent="0.35">
      <c r="A1" s="40">
        <v>1</v>
      </c>
      <c r="B1" s="41">
        <f>DATE(G1,A1,1)</f>
        <v>46023</v>
      </c>
      <c r="C1" s="41"/>
      <c r="D1" s="41"/>
      <c r="E1" s="41"/>
      <c r="F1" s="41"/>
      <c r="G1" s="40">
        <v>2026</v>
      </c>
      <c r="H1" s="4"/>
      <c r="I1" s="40">
        <v>2</v>
      </c>
      <c r="J1" s="41">
        <f>DATE(O1,I1,1)</f>
        <v>46054</v>
      </c>
      <c r="K1" s="41"/>
      <c r="L1" s="41"/>
      <c r="M1" s="41"/>
      <c r="N1" s="41"/>
      <c r="O1" s="40">
        <v>2026</v>
      </c>
      <c r="P1" s="4"/>
      <c r="Q1" s="40">
        <v>3</v>
      </c>
      <c r="R1" s="41">
        <f>DATE(W1,Q1,1)</f>
        <v>46082</v>
      </c>
      <c r="S1" s="41"/>
      <c r="T1" s="41"/>
      <c r="U1" s="41"/>
      <c r="V1" s="41"/>
      <c r="W1" s="40">
        <v>2026</v>
      </c>
      <c r="X1" s="4"/>
      <c r="Y1" s="40">
        <v>4</v>
      </c>
      <c r="Z1" s="41">
        <f>DATE(AE1,Y1,1)</f>
        <v>46113</v>
      </c>
      <c r="AA1" s="41"/>
      <c r="AB1" s="41"/>
      <c r="AC1" s="41"/>
      <c r="AD1" s="41"/>
      <c r="AE1" s="40">
        <v>2026</v>
      </c>
      <c r="AF1" s="4"/>
      <c r="AG1" s="40">
        <v>5</v>
      </c>
      <c r="AH1" s="41">
        <f>DATE(AM1,AG1,1)</f>
        <v>46143</v>
      </c>
      <c r="AI1" s="41"/>
      <c r="AJ1" s="41"/>
      <c r="AK1" s="41"/>
      <c r="AL1" s="41"/>
      <c r="AM1" s="40">
        <v>2026</v>
      </c>
      <c r="AN1" s="4"/>
      <c r="AO1" s="40">
        <v>6</v>
      </c>
      <c r="AP1" s="41">
        <f>DATE(AU1,AO1,1)</f>
        <v>46174</v>
      </c>
      <c r="AQ1" s="41"/>
      <c r="AR1" s="41"/>
      <c r="AS1" s="41"/>
      <c r="AT1" s="41"/>
      <c r="AU1" s="40">
        <v>2026</v>
      </c>
    </row>
    <row r="2" spans="1:47" ht="23.5" x14ac:dyDescent="0.35">
      <c r="A2" s="40"/>
      <c r="B2" s="41"/>
      <c r="C2" s="41"/>
      <c r="D2" s="41"/>
      <c r="E2" s="41"/>
      <c r="F2" s="41"/>
      <c r="G2" s="40"/>
      <c r="H2" s="4"/>
      <c r="I2" s="40"/>
      <c r="J2" s="41"/>
      <c r="K2" s="41"/>
      <c r="L2" s="41"/>
      <c r="M2" s="41"/>
      <c r="N2" s="41"/>
      <c r="O2" s="40"/>
      <c r="P2" s="4"/>
      <c r="Q2" s="40"/>
      <c r="R2" s="41"/>
      <c r="S2" s="41"/>
      <c r="T2" s="41"/>
      <c r="U2" s="41"/>
      <c r="V2" s="41"/>
      <c r="W2" s="40"/>
      <c r="X2" s="4"/>
      <c r="Y2" s="40"/>
      <c r="Z2" s="41"/>
      <c r="AA2" s="41"/>
      <c r="AB2" s="41"/>
      <c r="AC2" s="41"/>
      <c r="AD2" s="41"/>
      <c r="AE2" s="40"/>
      <c r="AF2" s="4"/>
      <c r="AG2" s="40"/>
      <c r="AH2" s="41"/>
      <c r="AI2" s="41"/>
      <c r="AJ2" s="41"/>
      <c r="AK2" s="41"/>
      <c r="AL2" s="41"/>
      <c r="AM2" s="40"/>
      <c r="AN2" s="4"/>
      <c r="AO2" s="40"/>
      <c r="AP2" s="41"/>
      <c r="AQ2" s="41"/>
      <c r="AR2" s="41"/>
      <c r="AS2" s="41"/>
      <c r="AT2" s="41"/>
      <c r="AU2" s="40"/>
    </row>
    <row r="3" spans="1:47" ht="15.5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0</v>
      </c>
      <c r="H3" s="5"/>
      <c r="I3" s="3" t="s">
        <v>1</v>
      </c>
      <c r="J3" s="3" t="s">
        <v>2</v>
      </c>
      <c r="K3" s="3" t="s">
        <v>3</v>
      </c>
      <c r="L3" s="3" t="s">
        <v>4</v>
      </c>
      <c r="M3" s="3" t="s">
        <v>5</v>
      </c>
      <c r="N3" s="3" t="s">
        <v>6</v>
      </c>
      <c r="O3" s="3" t="s">
        <v>0</v>
      </c>
      <c r="P3" s="5"/>
      <c r="Q3" s="3" t="s">
        <v>1</v>
      </c>
      <c r="R3" s="3" t="s">
        <v>2</v>
      </c>
      <c r="S3" s="3" t="s">
        <v>3</v>
      </c>
      <c r="T3" s="3" t="s">
        <v>4</v>
      </c>
      <c r="U3" s="3" t="s">
        <v>5</v>
      </c>
      <c r="V3" s="3" t="s">
        <v>6</v>
      </c>
      <c r="W3" s="3" t="s">
        <v>0</v>
      </c>
      <c r="X3" s="5"/>
      <c r="Y3" s="3" t="s">
        <v>1</v>
      </c>
      <c r="Z3" s="3" t="s">
        <v>2</v>
      </c>
      <c r="AA3" s="3" t="s">
        <v>3</v>
      </c>
      <c r="AB3" s="3" t="s">
        <v>4</v>
      </c>
      <c r="AC3" s="3" t="s">
        <v>5</v>
      </c>
      <c r="AD3" s="3" t="s">
        <v>6</v>
      </c>
      <c r="AE3" s="3" t="s">
        <v>0</v>
      </c>
      <c r="AF3" s="5"/>
      <c r="AG3" s="3" t="s">
        <v>1</v>
      </c>
      <c r="AH3" s="3" t="s">
        <v>2</v>
      </c>
      <c r="AI3" s="3" t="s">
        <v>3</v>
      </c>
      <c r="AJ3" s="3" t="s">
        <v>4</v>
      </c>
      <c r="AK3" s="3" t="s">
        <v>5</v>
      </c>
      <c r="AL3" s="3" t="s">
        <v>6</v>
      </c>
      <c r="AM3" s="3" t="s">
        <v>0</v>
      </c>
      <c r="AN3" s="5"/>
      <c r="AO3" s="3" t="s">
        <v>1</v>
      </c>
      <c r="AP3" s="3" t="s">
        <v>2</v>
      </c>
      <c r="AQ3" s="3" t="s">
        <v>3</v>
      </c>
      <c r="AR3" s="3" t="s">
        <v>4</v>
      </c>
      <c r="AS3" s="3" t="s">
        <v>5</v>
      </c>
      <c r="AT3" s="3" t="s">
        <v>6</v>
      </c>
      <c r="AU3" s="3" t="s">
        <v>0</v>
      </c>
    </row>
    <row r="4" spans="1:47" s="1" customFormat="1" x14ac:dyDescent="0.35">
      <c r="A4" s="2">
        <f>B1-WEEKDAY(B1)+2</f>
        <v>46020</v>
      </c>
      <c r="B4" s="2">
        <f>A4+1</f>
        <v>46021</v>
      </c>
      <c r="C4" s="2">
        <f t="shared" ref="C4:G4" si="0">B4+1</f>
        <v>46022</v>
      </c>
      <c r="D4" s="2">
        <f t="shared" si="0"/>
        <v>46023</v>
      </c>
      <c r="E4" s="2">
        <f t="shared" si="0"/>
        <v>46024</v>
      </c>
      <c r="F4" s="2">
        <f t="shared" si="0"/>
        <v>46025</v>
      </c>
      <c r="G4" s="2">
        <f t="shared" si="0"/>
        <v>46026</v>
      </c>
      <c r="H4" s="2"/>
      <c r="I4" s="2">
        <f>J1-WEEKDAY(J1)-5</f>
        <v>46048</v>
      </c>
      <c r="J4" s="2">
        <f>I4+1</f>
        <v>46049</v>
      </c>
      <c r="K4" s="2">
        <f t="shared" ref="K4:O4" si="1">J4+1</f>
        <v>46050</v>
      </c>
      <c r="L4" s="2">
        <f t="shared" si="1"/>
        <v>46051</v>
      </c>
      <c r="M4" s="2">
        <f t="shared" si="1"/>
        <v>46052</v>
      </c>
      <c r="N4" s="2">
        <f t="shared" si="1"/>
        <v>46053</v>
      </c>
      <c r="O4" s="2">
        <f t="shared" si="1"/>
        <v>46054</v>
      </c>
      <c r="P4" s="2"/>
      <c r="Q4" s="2">
        <f>R1-WEEKDAY(R1)-5</f>
        <v>46076</v>
      </c>
      <c r="R4" s="2">
        <f>Q4+1</f>
        <v>46077</v>
      </c>
      <c r="S4" s="2">
        <f t="shared" ref="S4:W4" si="2">R4+1</f>
        <v>46078</v>
      </c>
      <c r="T4" s="2">
        <f t="shared" si="2"/>
        <v>46079</v>
      </c>
      <c r="U4" s="2">
        <f t="shared" si="2"/>
        <v>46080</v>
      </c>
      <c r="V4" s="2">
        <f t="shared" si="2"/>
        <v>46081</v>
      </c>
      <c r="W4" s="2">
        <f t="shared" si="2"/>
        <v>46082</v>
      </c>
      <c r="X4" s="2"/>
      <c r="Y4" s="2">
        <f>Z1-WEEKDAY(Z1)+2</f>
        <v>46111</v>
      </c>
      <c r="Z4" s="2">
        <f>Y4+1</f>
        <v>46112</v>
      </c>
      <c r="AA4" s="2">
        <f t="shared" ref="AA4:AE4" si="3">Z4+1</f>
        <v>46113</v>
      </c>
      <c r="AB4" s="2">
        <f t="shared" si="3"/>
        <v>46114</v>
      </c>
      <c r="AC4" s="2">
        <f t="shared" si="3"/>
        <v>46115</v>
      </c>
      <c r="AD4" s="2">
        <f t="shared" si="3"/>
        <v>46116</v>
      </c>
      <c r="AE4" s="2">
        <f t="shared" si="3"/>
        <v>46117</v>
      </c>
      <c r="AF4" s="2"/>
      <c r="AG4" s="2">
        <f>AH1-WEEKDAY(AH1)+2</f>
        <v>46139</v>
      </c>
      <c r="AH4" s="2">
        <f>AG4+1</f>
        <v>46140</v>
      </c>
      <c r="AI4" s="2">
        <f t="shared" ref="AI4:AM4" si="4">AH4+1</f>
        <v>46141</v>
      </c>
      <c r="AJ4" s="2">
        <f t="shared" si="4"/>
        <v>46142</v>
      </c>
      <c r="AK4" s="2">
        <f t="shared" si="4"/>
        <v>46143</v>
      </c>
      <c r="AL4" s="2">
        <f t="shared" si="4"/>
        <v>46144</v>
      </c>
      <c r="AM4" s="2">
        <f t="shared" si="4"/>
        <v>46145</v>
      </c>
      <c r="AN4" s="2"/>
      <c r="AO4" s="2">
        <f>AP1-WEEKDAY(AP1)+2</f>
        <v>46174</v>
      </c>
      <c r="AP4" s="2">
        <f>AO4+1</f>
        <v>46175</v>
      </c>
      <c r="AQ4" s="2">
        <f t="shared" ref="AQ4:AU4" si="5">AP4+1</f>
        <v>46176</v>
      </c>
      <c r="AR4" s="2">
        <f t="shared" si="5"/>
        <v>46177</v>
      </c>
      <c r="AS4" s="2">
        <f t="shared" si="5"/>
        <v>46178</v>
      </c>
      <c r="AT4" s="2">
        <f t="shared" si="5"/>
        <v>46179</v>
      </c>
      <c r="AU4" s="2">
        <f t="shared" si="5"/>
        <v>46180</v>
      </c>
    </row>
    <row r="5" spans="1:47" s="1" customFormat="1" x14ac:dyDescent="0.35">
      <c r="A5" s="2">
        <f>G4+1</f>
        <v>46027</v>
      </c>
      <c r="B5" s="2">
        <f>A5+1</f>
        <v>46028</v>
      </c>
      <c r="C5" s="2">
        <f t="shared" ref="C5:G5" si="6">B5+1</f>
        <v>46029</v>
      </c>
      <c r="D5" s="2">
        <f t="shared" si="6"/>
        <v>46030</v>
      </c>
      <c r="E5" s="2">
        <f t="shared" si="6"/>
        <v>46031</v>
      </c>
      <c r="F5" s="2">
        <f t="shared" si="6"/>
        <v>46032</v>
      </c>
      <c r="G5" s="2">
        <f t="shared" si="6"/>
        <v>46033</v>
      </c>
      <c r="H5" s="2"/>
      <c r="I5" s="2">
        <f>O4+1</f>
        <v>46055</v>
      </c>
      <c r="J5" s="2">
        <f>I5+1</f>
        <v>46056</v>
      </c>
      <c r="K5" s="2">
        <f t="shared" ref="K5:O5" si="7">J5+1</f>
        <v>46057</v>
      </c>
      <c r="L5" s="2">
        <f t="shared" si="7"/>
        <v>46058</v>
      </c>
      <c r="M5" s="2">
        <f t="shared" si="7"/>
        <v>46059</v>
      </c>
      <c r="N5" s="2">
        <f t="shared" si="7"/>
        <v>46060</v>
      </c>
      <c r="O5" s="2">
        <f t="shared" si="7"/>
        <v>46061</v>
      </c>
      <c r="P5" s="2"/>
      <c r="Q5" s="2">
        <f>W4+1</f>
        <v>46083</v>
      </c>
      <c r="R5" s="2">
        <f>Q5+1</f>
        <v>46084</v>
      </c>
      <c r="S5" s="2">
        <f t="shared" ref="S5:W5" si="8">R5+1</f>
        <v>46085</v>
      </c>
      <c r="T5" s="2">
        <f t="shared" si="8"/>
        <v>46086</v>
      </c>
      <c r="U5" s="2">
        <f t="shared" si="8"/>
        <v>46087</v>
      </c>
      <c r="V5" s="2">
        <f t="shared" si="8"/>
        <v>46088</v>
      </c>
      <c r="W5" s="2">
        <f t="shared" si="8"/>
        <v>46089</v>
      </c>
      <c r="X5" s="2"/>
      <c r="Y5" s="2">
        <f>AE4+1</f>
        <v>46118</v>
      </c>
      <c r="Z5" s="2">
        <f>Y5+1</f>
        <v>46119</v>
      </c>
      <c r="AA5" s="2">
        <f t="shared" ref="AA5:AE5" si="9">Z5+1</f>
        <v>46120</v>
      </c>
      <c r="AB5" s="2">
        <f t="shared" si="9"/>
        <v>46121</v>
      </c>
      <c r="AC5" s="2">
        <f t="shared" si="9"/>
        <v>46122</v>
      </c>
      <c r="AD5" s="2">
        <f t="shared" si="9"/>
        <v>46123</v>
      </c>
      <c r="AE5" s="2">
        <f t="shared" si="9"/>
        <v>46124</v>
      </c>
      <c r="AF5" s="2"/>
      <c r="AG5" s="2">
        <f>AM4+1</f>
        <v>46146</v>
      </c>
      <c r="AH5" s="2">
        <f>AG5+1</f>
        <v>46147</v>
      </c>
      <c r="AI5" s="2">
        <f t="shared" ref="AI5:AM5" si="10">AH5+1</f>
        <v>46148</v>
      </c>
      <c r="AJ5" s="2">
        <f t="shared" si="10"/>
        <v>46149</v>
      </c>
      <c r="AK5" s="2">
        <f t="shared" si="10"/>
        <v>46150</v>
      </c>
      <c r="AL5" s="2">
        <f t="shared" si="10"/>
        <v>46151</v>
      </c>
      <c r="AM5" s="2">
        <f t="shared" si="10"/>
        <v>46152</v>
      </c>
      <c r="AN5" s="2"/>
      <c r="AO5" s="2">
        <f>AU4+1</f>
        <v>46181</v>
      </c>
      <c r="AP5" s="2">
        <f>AO5+1</f>
        <v>46182</v>
      </c>
      <c r="AQ5" s="2">
        <f t="shared" ref="AQ5:AU5" si="11">AP5+1</f>
        <v>46183</v>
      </c>
      <c r="AR5" s="2">
        <f t="shared" si="11"/>
        <v>46184</v>
      </c>
      <c r="AS5" s="2">
        <f t="shared" si="11"/>
        <v>46185</v>
      </c>
      <c r="AT5" s="2">
        <f t="shared" si="11"/>
        <v>46186</v>
      </c>
      <c r="AU5" s="2">
        <f t="shared" si="11"/>
        <v>46187</v>
      </c>
    </row>
    <row r="6" spans="1:47" s="1" customFormat="1" x14ac:dyDescent="0.35">
      <c r="A6" s="2">
        <f>G5+1</f>
        <v>46034</v>
      </c>
      <c r="B6" s="2">
        <f>A6+1</f>
        <v>46035</v>
      </c>
      <c r="C6" s="2">
        <f t="shared" ref="C6:G6" si="12">B6+1</f>
        <v>46036</v>
      </c>
      <c r="D6" s="2">
        <f t="shared" si="12"/>
        <v>46037</v>
      </c>
      <c r="E6" s="2">
        <f t="shared" si="12"/>
        <v>46038</v>
      </c>
      <c r="F6" s="2">
        <f t="shared" si="12"/>
        <v>46039</v>
      </c>
      <c r="G6" s="2">
        <f t="shared" si="12"/>
        <v>46040</v>
      </c>
      <c r="H6" s="2"/>
      <c r="I6" s="2">
        <f>O5+1</f>
        <v>46062</v>
      </c>
      <c r="J6" s="2">
        <f>I6+1</f>
        <v>46063</v>
      </c>
      <c r="K6" s="2">
        <f t="shared" ref="K6:O6" si="13">J6+1</f>
        <v>46064</v>
      </c>
      <c r="L6" s="2">
        <f t="shared" si="13"/>
        <v>46065</v>
      </c>
      <c r="M6" s="2">
        <f t="shared" si="13"/>
        <v>46066</v>
      </c>
      <c r="N6" s="2">
        <f t="shared" si="13"/>
        <v>46067</v>
      </c>
      <c r="O6" s="2">
        <f t="shared" si="13"/>
        <v>46068</v>
      </c>
      <c r="P6" s="2"/>
      <c r="Q6" s="2">
        <f>W5+1</f>
        <v>46090</v>
      </c>
      <c r="R6" s="2">
        <f>Q6+1</f>
        <v>46091</v>
      </c>
      <c r="S6" s="2">
        <f t="shared" ref="S6:W6" si="14">R6+1</f>
        <v>46092</v>
      </c>
      <c r="T6" s="2">
        <f t="shared" si="14"/>
        <v>46093</v>
      </c>
      <c r="U6" s="2">
        <f t="shared" si="14"/>
        <v>46094</v>
      </c>
      <c r="V6" s="2">
        <f t="shared" si="14"/>
        <v>46095</v>
      </c>
      <c r="W6" s="2">
        <f t="shared" si="14"/>
        <v>46096</v>
      </c>
      <c r="X6" s="2"/>
      <c r="Y6" s="2">
        <f>AE5+1</f>
        <v>46125</v>
      </c>
      <c r="Z6" s="2">
        <f>Y6+1</f>
        <v>46126</v>
      </c>
      <c r="AA6" s="2">
        <f t="shared" ref="AA6:AE6" si="15">Z6+1</f>
        <v>46127</v>
      </c>
      <c r="AB6" s="2">
        <f t="shared" si="15"/>
        <v>46128</v>
      </c>
      <c r="AC6" s="2">
        <f t="shared" si="15"/>
        <v>46129</v>
      </c>
      <c r="AD6" s="2">
        <f t="shared" si="15"/>
        <v>46130</v>
      </c>
      <c r="AE6" s="2">
        <f t="shared" si="15"/>
        <v>46131</v>
      </c>
      <c r="AF6" s="2"/>
      <c r="AG6" s="2">
        <f>AM5+1</f>
        <v>46153</v>
      </c>
      <c r="AH6" s="2">
        <f>AG6+1</f>
        <v>46154</v>
      </c>
      <c r="AI6" s="2">
        <f t="shared" ref="AI6:AM6" si="16">AH6+1</f>
        <v>46155</v>
      </c>
      <c r="AJ6" s="2">
        <f t="shared" si="16"/>
        <v>46156</v>
      </c>
      <c r="AK6" s="2">
        <f t="shared" si="16"/>
        <v>46157</v>
      </c>
      <c r="AL6" s="2">
        <f t="shared" si="16"/>
        <v>46158</v>
      </c>
      <c r="AM6" s="2">
        <f t="shared" si="16"/>
        <v>46159</v>
      </c>
      <c r="AN6" s="2"/>
      <c r="AO6" s="2">
        <f>AU5+1</f>
        <v>46188</v>
      </c>
      <c r="AP6" s="2">
        <f>AO6+1</f>
        <v>46189</v>
      </c>
      <c r="AQ6" s="2">
        <f t="shared" ref="AQ6:AU6" si="17">AP6+1</f>
        <v>46190</v>
      </c>
      <c r="AR6" s="2">
        <f t="shared" si="17"/>
        <v>46191</v>
      </c>
      <c r="AS6" s="2">
        <f t="shared" si="17"/>
        <v>46192</v>
      </c>
      <c r="AT6" s="2">
        <f t="shared" si="17"/>
        <v>46193</v>
      </c>
      <c r="AU6" s="2">
        <f t="shared" si="17"/>
        <v>46194</v>
      </c>
    </row>
    <row r="7" spans="1:47" s="1" customFormat="1" x14ac:dyDescent="0.35">
      <c r="A7" s="2">
        <f>G6+1</f>
        <v>46041</v>
      </c>
      <c r="B7" s="2">
        <f>A7+1</f>
        <v>46042</v>
      </c>
      <c r="C7" s="2">
        <f t="shared" ref="C7:G7" si="18">B7+1</f>
        <v>46043</v>
      </c>
      <c r="D7" s="2">
        <f t="shared" si="18"/>
        <v>46044</v>
      </c>
      <c r="E7" s="2">
        <f t="shared" si="18"/>
        <v>46045</v>
      </c>
      <c r="F7" s="2">
        <f t="shared" si="18"/>
        <v>46046</v>
      </c>
      <c r="G7" s="2">
        <f t="shared" si="18"/>
        <v>46047</v>
      </c>
      <c r="H7" s="2"/>
      <c r="I7" s="2">
        <f>O6+1</f>
        <v>46069</v>
      </c>
      <c r="J7" s="2">
        <f>I7+1</f>
        <v>46070</v>
      </c>
      <c r="K7" s="2">
        <f t="shared" ref="K7:O7" si="19">J7+1</f>
        <v>46071</v>
      </c>
      <c r="L7" s="2">
        <f t="shared" si="19"/>
        <v>46072</v>
      </c>
      <c r="M7" s="2">
        <f t="shared" si="19"/>
        <v>46073</v>
      </c>
      <c r="N7" s="2">
        <f t="shared" si="19"/>
        <v>46074</v>
      </c>
      <c r="O7" s="2">
        <f t="shared" si="19"/>
        <v>46075</v>
      </c>
      <c r="P7" s="2"/>
      <c r="Q7" s="2">
        <f>W6+1</f>
        <v>46097</v>
      </c>
      <c r="R7" s="2">
        <f>Q7+1</f>
        <v>46098</v>
      </c>
      <c r="S7" s="2">
        <f t="shared" ref="S7:W7" si="20">R7+1</f>
        <v>46099</v>
      </c>
      <c r="T7" s="2">
        <f t="shared" si="20"/>
        <v>46100</v>
      </c>
      <c r="U7" s="2">
        <f t="shared" si="20"/>
        <v>46101</v>
      </c>
      <c r="V7" s="2">
        <f t="shared" si="20"/>
        <v>46102</v>
      </c>
      <c r="W7" s="2">
        <f t="shared" si="20"/>
        <v>46103</v>
      </c>
      <c r="X7" s="2"/>
      <c r="Y7" s="2">
        <f>AE6+1</f>
        <v>46132</v>
      </c>
      <c r="Z7" s="2">
        <f>Y7+1</f>
        <v>46133</v>
      </c>
      <c r="AA7" s="2">
        <f t="shared" ref="AA7:AE7" si="21">Z7+1</f>
        <v>46134</v>
      </c>
      <c r="AB7" s="2">
        <f t="shared" si="21"/>
        <v>46135</v>
      </c>
      <c r="AC7" s="2">
        <f t="shared" si="21"/>
        <v>46136</v>
      </c>
      <c r="AD7" s="2">
        <f t="shared" si="21"/>
        <v>46137</v>
      </c>
      <c r="AE7" s="2">
        <f t="shared" si="21"/>
        <v>46138</v>
      </c>
      <c r="AF7" s="2"/>
      <c r="AG7" s="2">
        <f>AM6+1</f>
        <v>46160</v>
      </c>
      <c r="AH7" s="2">
        <f>AG7+1</f>
        <v>46161</v>
      </c>
      <c r="AI7" s="2">
        <f t="shared" ref="AI7:AM7" si="22">AH7+1</f>
        <v>46162</v>
      </c>
      <c r="AJ7" s="2">
        <f t="shared" si="22"/>
        <v>46163</v>
      </c>
      <c r="AK7" s="2">
        <f t="shared" si="22"/>
        <v>46164</v>
      </c>
      <c r="AL7" s="2">
        <f t="shared" si="22"/>
        <v>46165</v>
      </c>
      <c r="AM7" s="2">
        <f t="shared" si="22"/>
        <v>46166</v>
      </c>
      <c r="AN7" s="2"/>
      <c r="AO7" s="2">
        <f>AU6+1</f>
        <v>46195</v>
      </c>
      <c r="AP7" s="2">
        <f>AO7+1</f>
        <v>46196</v>
      </c>
      <c r="AQ7" s="2">
        <f t="shared" ref="AQ7:AU7" si="23">AP7+1</f>
        <v>46197</v>
      </c>
      <c r="AR7" s="2">
        <f t="shared" si="23"/>
        <v>46198</v>
      </c>
      <c r="AS7" s="2">
        <f t="shared" si="23"/>
        <v>46199</v>
      </c>
      <c r="AT7" s="2">
        <f t="shared" si="23"/>
        <v>46200</v>
      </c>
      <c r="AU7" s="2">
        <f t="shared" si="23"/>
        <v>46201</v>
      </c>
    </row>
    <row r="8" spans="1:47" s="1" customFormat="1" x14ac:dyDescent="0.35">
      <c r="A8" s="2">
        <f>G7+1</f>
        <v>46048</v>
      </c>
      <c r="B8" s="2">
        <f>A8+1</f>
        <v>46049</v>
      </c>
      <c r="C8" s="2">
        <f t="shared" ref="C8:G8" si="24">B8+1</f>
        <v>46050</v>
      </c>
      <c r="D8" s="2">
        <f t="shared" si="24"/>
        <v>46051</v>
      </c>
      <c r="E8" s="2">
        <f t="shared" si="24"/>
        <v>46052</v>
      </c>
      <c r="F8" s="2">
        <f t="shared" si="24"/>
        <v>46053</v>
      </c>
      <c r="G8" s="2">
        <f t="shared" si="24"/>
        <v>46054</v>
      </c>
      <c r="H8" s="2"/>
      <c r="I8" s="2">
        <f>O7+1</f>
        <v>46076</v>
      </c>
      <c r="J8" s="2">
        <f>I8+1</f>
        <v>46077</v>
      </c>
      <c r="K8" s="2">
        <f t="shared" ref="K8:O8" si="25">J8+1</f>
        <v>46078</v>
      </c>
      <c r="L8" s="2">
        <f t="shared" si="25"/>
        <v>46079</v>
      </c>
      <c r="M8" s="2">
        <f t="shared" si="25"/>
        <v>46080</v>
      </c>
      <c r="N8" s="2">
        <f t="shared" si="25"/>
        <v>46081</v>
      </c>
      <c r="O8" s="2">
        <f t="shared" si="25"/>
        <v>46082</v>
      </c>
      <c r="P8" s="2"/>
      <c r="Q8" s="2">
        <f>W7+1</f>
        <v>46104</v>
      </c>
      <c r="R8" s="2">
        <f>Q8+1</f>
        <v>46105</v>
      </c>
      <c r="S8" s="2">
        <f t="shared" ref="S8:W8" si="26">R8+1</f>
        <v>46106</v>
      </c>
      <c r="T8" s="2">
        <f t="shared" si="26"/>
        <v>46107</v>
      </c>
      <c r="U8" s="2">
        <f t="shared" si="26"/>
        <v>46108</v>
      </c>
      <c r="V8" s="2">
        <f t="shared" si="26"/>
        <v>46109</v>
      </c>
      <c r="W8" s="2">
        <f t="shared" si="26"/>
        <v>46110</v>
      </c>
      <c r="X8" s="2"/>
      <c r="Y8" s="2">
        <f>AE7+1</f>
        <v>46139</v>
      </c>
      <c r="Z8" s="2">
        <f>Y8+1</f>
        <v>46140</v>
      </c>
      <c r="AA8" s="2">
        <f t="shared" ref="AA8:AE8" si="27">Z8+1</f>
        <v>46141</v>
      </c>
      <c r="AB8" s="2">
        <f t="shared" si="27"/>
        <v>46142</v>
      </c>
      <c r="AC8" s="2">
        <f t="shared" si="27"/>
        <v>46143</v>
      </c>
      <c r="AD8" s="2">
        <f t="shared" si="27"/>
        <v>46144</v>
      </c>
      <c r="AE8" s="2">
        <f t="shared" si="27"/>
        <v>46145</v>
      </c>
      <c r="AF8" s="2"/>
      <c r="AG8" s="2">
        <f>AM7+1</f>
        <v>46167</v>
      </c>
      <c r="AH8" s="2">
        <f>AG8+1</f>
        <v>46168</v>
      </c>
      <c r="AI8" s="2">
        <f t="shared" ref="AI8:AM8" si="28">AH8+1</f>
        <v>46169</v>
      </c>
      <c r="AJ8" s="2">
        <f t="shared" si="28"/>
        <v>46170</v>
      </c>
      <c r="AK8" s="2">
        <f t="shared" si="28"/>
        <v>46171</v>
      </c>
      <c r="AL8" s="2">
        <f t="shared" si="28"/>
        <v>46172</v>
      </c>
      <c r="AM8" s="2">
        <f t="shared" si="28"/>
        <v>46173</v>
      </c>
      <c r="AN8" s="2"/>
      <c r="AO8" s="2">
        <f>AU7+1</f>
        <v>46202</v>
      </c>
      <c r="AP8" s="2">
        <f>AO8+1</f>
        <v>46203</v>
      </c>
      <c r="AQ8" s="2">
        <f t="shared" ref="AQ8:AU8" si="29">AP8+1</f>
        <v>46204</v>
      </c>
      <c r="AR8" s="2">
        <f t="shared" si="29"/>
        <v>46205</v>
      </c>
      <c r="AS8" s="2">
        <f t="shared" si="29"/>
        <v>46206</v>
      </c>
      <c r="AT8" s="2">
        <f t="shared" si="29"/>
        <v>46207</v>
      </c>
      <c r="AU8" s="2">
        <f t="shared" si="29"/>
        <v>46208</v>
      </c>
    </row>
    <row r="9" spans="1:47" x14ac:dyDescent="0.35">
      <c r="A9" s="2"/>
      <c r="B9" s="2"/>
      <c r="C9" s="2"/>
      <c r="D9" s="2"/>
      <c r="E9" s="2"/>
      <c r="F9" s="2"/>
      <c r="G9" s="2"/>
      <c r="H9" s="2"/>
      <c r="P9" s="2"/>
      <c r="X9" s="2"/>
      <c r="AF9" s="2"/>
      <c r="AN9" s="2"/>
    </row>
    <row r="10" spans="1:47" ht="23.5" x14ac:dyDescent="0.35">
      <c r="A10" s="42">
        <v>7</v>
      </c>
      <c r="B10" s="43">
        <f>DATE(G10,A10,1)</f>
        <v>46204</v>
      </c>
      <c r="C10" s="43"/>
      <c r="D10" s="43"/>
      <c r="E10" s="43"/>
      <c r="F10" s="43"/>
      <c r="G10" s="42">
        <v>2026</v>
      </c>
      <c r="H10" s="4"/>
      <c r="I10" s="42">
        <v>8</v>
      </c>
      <c r="J10" s="43">
        <f>DATE(O10,I10,1)</f>
        <v>46235</v>
      </c>
      <c r="K10" s="43"/>
      <c r="L10" s="43"/>
      <c r="M10" s="43"/>
      <c r="N10" s="43"/>
      <c r="O10" s="42">
        <v>2026</v>
      </c>
      <c r="P10" s="4"/>
      <c r="Q10" s="42">
        <v>9</v>
      </c>
      <c r="R10" s="43">
        <f>DATE(W10,Q10,1)</f>
        <v>46266</v>
      </c>
      <c r="S10" s="43"/>
      <c r="T10" s="43"/>
      <c r="U10" s="43"/>
      <c r="V10" s="43"/>
      <c r="W10" s="42">
        <v>2026</v>
      </c>
      <c r="X10" s="4"/>
      <c r="Y10" s="42">
        <v>10</v>
      </c>
      <c r="Z10" s="43">
        <f>DATE(AE10,Y10,1)</f>
        <v>46296</v>
      </c>
      <c r="AA10" s="43"/>
      <c r="AB10" s="43"/>
      <c r="AC10" s="43"/>
      <c r="AD10" s="43"/>
      <c r="AE10" s="42">
        <v>2026</v>
      </c>
      <c r="AF10" s="4"/>
      <c r="AG10" s="42">
        <v>11</v>
      </c>
      <c r="AH10" s="43">
        <f>DATE(AM10,AG10,1)</f>
        <v>46327</v>
      </c>
      <c r="AI10" s="43"/>
      <c r="AJ10" s="43"/>
      <c r="AK10" s="43"/>
      <c r="AL10" s="43"/>
      <c r="AM10" s="42">
        <v>2026</v>
      </c>
      <c r="AN10" s="4"/>
      <c r="AO10" s="42">
        <v>12</v>
      </c>
      <c r="AP10" s="43">
        <f>DATE(AU10,AO10,1)</f>
        <v>46357</v>
      </c>
      <c r="AQ10" s="43"/>
      <c r="AR10" s="43"/>
      <c r="AS10" s="43"/>
      <c r="AT10" s="43"/>
      <c r="AU10" s="42">
        <v>2026</v>
      </c>
    </row>
    <row r="11" spans="1:47" ht="23.5" x14ac:dyDescent="0.35">
      <c r="A11" s="42"/>
      <c r="B11" s="43"/>
      <c r="C11" s="43"/>
      <c r="D11" s="43"/>
      <c r="E11" s="43"/>
      <c r="F11" s="43"/>
      <c r="G11" s="42"/>
      <c r="H11" s="4"/>
      <c r="I11" s="42"/>
      <c r="J11" s="43"/>
      <c r="K11" s="43"/>
      <c r="L11" s="43"/>
      <c r="M11" s="43"/>
      <c r="N11" s="43"/>
      <c r="O11" s="42"/>
      <c r="P11" s="4"/>
      <c r="Q11" s="42"/>
      <c r="R11" s="43"/>
      <c r="S11" s="43"/>
      <c r="T11" s="43"/>
      <c r="U11" s="43"/>
      <c r="V11" s="43"/>
      <c r="W11" s="42"/>
      <c r="X11" s="4"/>
      <c r="Y11" s="42"/>
      <c r="Z11" s="43"/>
      <c r="AA11" s="43"/>
      <c r="AB11" s="43"/>
      <c r="AC11" s="43"/>
      <c r="AD11" s="43"/>
      <c r="AE11" s="42"/>
      <c r="AF11" s="4"/>
      <c r="AG11" s="42"/>
      <c r="AH11" s="43"/>
      <c r="AI11" s="43"/>
      <c r="AJ11" s="43"/>
      <c r="AK11" s="43"/>
      <c r="AL11" s="43"/>
      <c r="AM11" s="42"/>
      <c r="AN11" s="4"/>
      <c r="AO11" s="42"/>
      <c r="AP11" s="43"/>
      <c r="AQ11" s="43"/>
      <c r="AR11" s="43"/>
      <c r="AS11" s="43"/>
      <c r="AT11" s="43"/>
      <c r="AU11" s="42"/>
    </row>
    <row r="12" spans="1:47" ht="15.5" x14ac:dyDescent="0.35">
      <c r="A12" s="3" t="s">
        <v>1</v>
      </c>
      <c r="B12" s="3" t="s">
        <v>2</v>
      </c>
      <c r="C12" s="3" t="s">
        <v>3</v>
      </c>
      <c r="D12" s="3" t="s">
        <v>4</v>
      </c>
      <c r="E12" s="3" t="s">
        <v>5</v>
      </c>
      <c r="F12" s="3" t="s">
        <v>6</v>
      </c>
      <c r="G12" s="3" t="s">
        <v>0</v>
      </c>
      <c r="H12" s="5"/>
      <c r="I12" s="3" t="s">
        <v>1</v>
      </c>
      <c r="J12" s="3" t="s">
        <v>2</v>
      </c>
      <c r="K12" s="3" t="s">
        <v>3</v>
      </c>
      <c r="L12" s="3" t="s">
        <v>4</v>
      </c>
      <c r="M12" s="3" t="s">
        <v>5</v>
      </c>
      <c r="N12" s="3" t="s">
        <v>6</v>
      </c>
      <c r="O12" s="3" t="s">
        <v>0</v>
      </c>
      <c r="P12" s="5"/>
      <c r="Q12" s="3" t="s">
        <v>1</v>
      </c>
      <c r="R12" s="3" t="s">
        <v>2</v>
      </c>
      <c r="S12" s="3" t="s">
        <v>3</v>
      </c>
      <c r="T12" s="3" t="s">
        <v>4</v>
      </c>
      <c r="U12" s="3" t="s">
        <v>5</v>
      </c>
      <c r="V12" s="3" t="s">
        <v>6</v>
      </c>
      <c r="W12" s="3" t="s">
        <v>0</v>
      </c>
      <c r="X12" s="5"/>
      <c r="Y12" s="3" t="s">
        <v>1</v>
      </c>
      <c r="Z12" s="3" t="s">
        <v>2</v>
      </c>
      <c r="AA12" s="3" t="s">
        <v>3</v>
      </c>
      <c r="AB12" s="3" t="s">
        <v>4</v>
      </c>
      <c r="AC12" s="3" t="s">
        <v>5</v>
      </c>
      <c r="AD12" s="3" t="s">
        <v>6</v>
      </c>
      <c r="AE12" s="3" t="s">
        <v>0</v>
      </c>
      <c r="AF12" s="5"/>
      <c r="AG12" s="3" t="s">
        <v>1</v>
      </c>
      <c r="AH12" s="3" t="s">
        <v>2</v>
      </c>
      <c r="AI12" s="3" t="s">
        <v>3</v>
      </c>
      <c r="AJ12" s="3" t="s">
        <v>4</v>
      </c>
      <c r="AK12" s="3" t="s">
        <v>5</v>
      </c>
      <c r="AL12" s="3" t="s">
        <v>6</v>
      </c>
      <c r="AM12" s="3" t="s">
        <v>0</v>
      </c>
      <c r="AN12" s="5"/>
      <c r="AO12" s="3" t="s">
        <v>1</v>
      </c>
      <c r="AP12" s="3" t="s">
        <v>2</v>
      </c>
      <c r="AQ12" s="3" t="s">
        <v>3</v>
      </c>
      <c r="AR12" s="3" t="s">
        <v>4</v>
      </c>
      <c r="AS12" s="3" t="s">
        <v>5</v>
      </c>
      <c r="AT12" s="3" t="s">
        <v>6</v>
      </c>
      <c r="AU12" s="3" t="s">
        <v>0</v>
      </c>
    </row>
    <row r="13" spans="1:47" x14ac:dyDescent="0.35">
      <c r="A13" s="2">
        <f>B10-WEEKDAY(B10)+2</f>
        <v>46202</v>
      </c>
      <c r="B13" s="2">
        <f>A13+1</f>
        <v>46203</v>
      </c>
      <c r="C13" s="6">
        <f t="shared" ref="C13:G13" si="30">B13+1</f>
        <v>46204</v>
      </c>
      <c r="D13" s="6">
        <f t="shared" si="30"/>
        <v>46205</v>
      </c>
      <c r="E13" s="6">
        <f t="shared" si="30"/>
        <v>46206</v>
      </c>
      <c r="F13" s="6">
        <f t="shared" si="30"/>
        <v>46207</v>
      </c>
      <c r="G13" s="6">
        <f t="shared" si="30"/>
        <v>46208</v>
      </c>
      <c r="H13" s="2"/>
      <c r="I13" s="2">
        <f>J10-WEEKDAY(J10)+2</f>
        <v>46230</v>
      </c>
      <c r="J13" s="2">
        <f>I13+1</f>
        <v>46231</v>
      </c>
      <c r="K13" s="2">
        <f t="shared" ref="K13:O13" si="31">J13+1</f>
        <v>46232</v>
      </c>
      <c r="L13" s="2">
        <f t="shared" si="31"/>
        <v>46233</v>
      </c>
      <c r="M13" s="2">
        <f t="shared" si="31"/>
        <v>46234</v>
      </c>
      <c r="N13" s="6">
        <f t="shared" si="31"/>
        <v>46235</v>
      </c>
      <c r="O13" s="6">
        <f t="shared" si="31"/>
        <v>46236</v>
      </c>
      <c r="P13" s="2"/>
      <c r="Q13" s="2">
        <f>R10-WEEKDAY(R10)+2</f>
        <v>46265</v>
      </c>
      <c r="R13" s="6">
        <f>Q13+1</f>
        <v>46266</v>
      </c>
      <c r="S13" s="6">
        <f t="shared" ref="S13:W13" si="32">R13+1</f>
        <v>46267</v>
      </c>
      <c r="T13" s="6">
        <f t="shared" si="32"/>
        <v>46268</v>
      </c>
      <c r="U13" s="6">
        <f t="shared" si="32"/>
        <v>46269</v>
      </c>
      <c r="V13" s="6">
        <f t="shared" si="32"/>
        <v>46270</v>
      </c>
      <c r="W13" s="6">
        <f t="shared" si="32"/>
        <v>46271</v>
      </c>
      <c r="X13" s="2"/>
      <c r="Y13" s="2">
        <f>Z10-WEEKDAY(Z10)+2</f>
        <v>46293</v>
      </c>
      <c r="Z13" s="2">
        <f>Y13+1</f>
        <v>46294</v>
      </c>
      <c r="AA13" s="2">
        <f t="shared" ref="AA13:AE13" si="33">Z13+1</f>
        <v>46295</v>
      </c>
      <c r="AB13" s="6">
        <f t="shared" si="33"/>
        <v>46296</v>
      </c>
      <c r="AC13" s="6">
        <f t="shared" si="33"/>
        <v>46297</v>
      </c>
      <c r="AD13" s="6">
        <f t="shared" si="33"/>
        <v>46298</v>
      </c>
      <c r="AE13" s="6">
        <f t="shared" si="33"/>
        <v>46299</v>
      </c>
      <c r="AF13" s="2"/>
      <c r="AG13" s="6">
        <f>AH10-WEEKDAY(AH10)+2</f>
        <v>46328</v>
      </c>
      <c r="AH13" s="6">
        <f>AG13+1</f>
        <v>46329</v>
      </c>
      <c r="AI13" s="6">
        <f t="shared" ref="AI13:AM13" si="34">AH13+1</f>
        <v>46330</v>
      </c>
      <c r="AJ13" s="6">
        <f t="shared" si="34"/>
        <v>46331</v>
      </c>
      <c r="AK13" s="6">
        <f t="shared" si="34"/>
        <v>46332</v>
      </c>
      <c r="AL13" s="6">
        <f t="shared" si="34"/>
        <v>46333</v>
      </c>
      <c r="AM13" s="6">
        <f t="shared" si="34"/>
        <v>46334</v>
      </c>
      <c r="AN13" s="2"/>
      <c r="AO13" s="2">
        <f>AP10-WEEKDAY(AP10)+2</f>
        <v>46356</v>
      </c>
      <c r="AP13" s="6">
        <f>AO13+1</f>
        <v>46357</v>
      </c>
      <c r="AQ13" s="16">
        <f t="shared" ref="AQ13:AU13" si="35">AP13+1</f>
        <v>46358</v>
      </c>
      <c r="AR13" s="6">
        <f t="shared" si="35"/>
        <v>46359</v>
      </c>
      <c r="AS13" s="44">
        <f t="shared" si="35"/>
        <v>46360</v>
      </c>
      <c r="AT13" s="6">
        <f t="shared" si="35"/>
        <v>46361</v>
      </c>
      <c r="AU13" s="6">
        <f t="shared" si="35"/>
        <v>46362</v>
      </c>
    </row>
    <row r="14" spans="1:47" x14ac:dyDescent="0.35">
      <c r="A14" s="2">
        <f>G13+1</f>
        <v>46209</v>
      </c>
      <c r="B14" s="2">
        <f>A14+1</f>
        <v>46210</v>
      </c>
      <c r="C14" s="6">
        <f t="shared" ref="C14:G14" si="36">B14+1</f>
        <v>46211</v>
      </c>
      <c r="D14" s="6">
        <f t="shared" si="36"/>
        <v>46212</v>
      </c>
      <c r="E14" s="6">
        <f t="shared" si="36"/>
        <v>46213</v>
      </c>
      <c r="F14" s="6">
        <f t="shared" si="36"/>
        <v>46214</v>
      </c>
      <c r="G14" s="6">
        <f t="shared" si="36"/>
        <v>46215</v>
      </c>
      <c r="H14" s="2"/>
      <c r="I14" s="8">
        <f>O13+1</f>
        <v>46237</v>
      </c>
      <c r="J14" s="6">
        <f>I14+1</f>
        <v>46238</v>
      </c>
      <c r="K14" s="6">
        <f t="shared" ref="K14:O14" si="37">J14+1</f>
        <v>46239</v>
      </c>
      <c r="L14" s="6">
        <f t="shared" si="37"/>
        <v>46240</v>
      </c>
      <c r="M14" s="6">
        <f t="shared" si="37"/>
        <v>46241</v>
      </c>
      <c r="N14" s="6">
        <f t="shared" si="37"/>
        <v>46242</v>
      </c>
      <c r="O14" s="6">
        <f t="shared" si="37"/>
        <v>46243</v>
      </c>
      <c r="P14" s="2"/>
      <c r="Q14" s="6">
        <f>W13+1</f>
        <v>46272</v>
      </c>
      <c r="R14" s="6">
        <f>Q14+1</f>
        <v>46273</v>
      </c>
      <c r="S14" s="6">
        <f t="shared" ref="S14:W14" si="38">R14+1</f>
        <v>46274</v>
      </c>
      <c r="T14" s="10">
        <f t="shared" si="38"/>
        <v>46275</v>
      </c>
      <c r="U14" s="6">
        <f t="shared" si="38"/>
        <v>46276</v>
      </c>
      <c r="V14" s="6">
        <f t="shared" si="38"/>
        <v>46277</v>
      </c>
      <c r="W14" s="6">
        <f t="shared" si="38"/>
        <v>46278</v>
      </c>
      <c r="X14" s="2"/>
      <c r="Y14" s="6">
        <f>AE13+1</f>
        <v>46300</v>
      </c>
      <c r="Z14" s="6">
        <f>Y14+1</f>
        <v>46301</v>
      </c>
      <c r="AA14" s="6">
        <f t="shared" ref="AA14:AE14" si="39">Z14+1</f>
        <v>46302</v>
      </c>
      <c r="AB14" s="6">
        <f t="shared" si="39"/>
        <v>46303</v>
      </c>
      <c r="AC14" s="6">
        <f t="shared" si="39"/>
        <v>46304</v>
      </c>
      <c r="AD14" s="6">
        <f t="shared" si="39"/>
        <v>46305</v>
      </c>
      <c r="AE14" s="6">
        <f t="shared" si="39"/>
        <v>46306</v>
      </c>
      <c r="AF14" s="2"/>
      <c r="AG14" s="6">
        <f>AM13+1</f>
        <v>46335</v>
      </c>
      <c r="AH14" s="6">
        <f>AG14+1</f>
        <v>46336</v>
      </c>
      <c r="AI14" s="6">
        <f t="shared" ref="AI14:AM14" si="40">AH14+1</f>
        <v>46337</v>
      </c>
      <c r="AJ14" s="6">
        <f t="shared" si="40"/>
        <v>46338</v>
      </c>
      <c r="AK14" s="6">
        <f t="shared" si="40"/>
        <v>46339</v>
      </c>
      <c r="AL14" s="10">
        <f t="shared" si="40"/>
        <v>46340</v>
      </c>
      <c r="AM14" s="6">
        <f t="shared" si="40"/>
        <v>46341</v>
      </c>
      <c r="AN14" s="2"/>
      <c r="AO14" s="6">
        <f>AU13+1</f>
        <v>46363</v>
      </c>
      <c r="AP14" s="6">
        <f>AO14+1</f>
        <v>46364</v>
      </c>
      <c r="AQ14" s="6">
        <f t="shared" ref="AQ14:AU14" si="41">AP14+1</f>
        <v>46365</v>
      </c>
      <c r="AR14" s="7">
        <f t="shared" si="41"/>
        <v>46366</v>
      </c>
      <c r="AS14" s="17">
        <f t="shared" si="41"/>
        <v>46367</v>
      </c>
      <c r="AT14" s="6">
        <f t="shared" si="41"/>
        <v>46368</v>
      </c>
      <c r="AU14" s="6">
        <f t="shared" si="41"/>
        <v>46369</v>
      </c>
    </row>
    <row r="15" spans="1:47" x14ac:dyDescent="0.35">
      <c r="A15" s="2">
        <f>G14+1</f>
        <v>46216</v>
      </c>
      <c r="B15" s="2">
        <f>A15+1</f>
        <v>46217</v>
      </c>
      <c r="C15" s="6">
        <f t="shared" ref="C15:G15" si="42">B15+1</f>
        <v>46218</v>
      </c>
      <c r="D15" s="8">
        <f t="shared" si="42"/>
        <v>46219</v>
      </c>
      <c r="E15" s="8">
        <f t="shared" si="42"/>
        <v>46220</v>
      </c>
      <c r="F15" s="6">
        <f t="shared" si="42"/>
        <v>46221</v>
      </c>
      <c r="G15" s="6">
        <f t="shared" si="42"/>
        <v>46222</v>
      </c>
      <c r="H15" s="2"/>
      <c r="I15" s="6">
        <f>O14+1</f>
        <v>46244</v>
      </c>
      <c r="J15" s="6">
        <f>I15+1</f>
        <v>46245</v>
      </c>
      <c r="K15" s="6">
        <f t="shared" ref="K15:O15" si="43">J15+1</f>
        <v>46246</v>
      </c>
      <c r="L15" s="6">
        <f t="shared" si="43"/>
        <v>46247</v>
      </c>
      <c r="M15" s="6">
        <f t="shared" si="43"/>
        <v>46248</v>
      </c>
      <c r="N15" s="6">
        <f t="shared" si="43"/>
        <v>46249</v>
      </c>
      <c r="O15" s="6">
        <f t="shared" si="43"/>
        <v>46250</v>
      </c>
      <c r="P15" s="2"/>
      <c r="Q15" s="6">
        <f>W14+1</f>
        <v>46279</v>
      </c>
      <c r="R15" s="6">
        <f>Q15+1</f>
        <v>46280</v>
      </c>
      <c r="S15" s="6">
        <f t="shared" ref="S15:W15" si="44">R15+1</f>
        <v>46281</v>
      </c>
      <c r="T15" s="6">
        <f t="shared" si="44"/>
        <v>46282</v>
      </c>
      <c r="U15" s="6">
        <f t="shared" si="44"/>
        <v>46283</v>
      </c>
      <c r="V15" s="6">
        <f t="shared" si="44"/>
        <v>46284</v>
      </c>
      <c r="W15" s="6">
        <f t="shared" si="44"/>
        <v>46285</v>
      </c>
      <c r="X15" s="2"/>
      <c r="Y15" s="6">
        <f>AE14+1</f>
        <v>46307</v>
      </c>
      <c r="Z15" s="6">
        <f>Y15+1</f>
        <v>46308</v>
      </c>
      <c r="AA15" s="6">
        <f t="shared" ref="AA15:AE15" si="45">Z15+1</f>
        <v>46309</v>
      </c>
      <c r="AB15" s="6">
        <f t="shared" si="45"/>
        <v>46310</v>
      </c>
      <c r="AC15" s="10">
        <f t="shared" si="45"/>
        <v>46311</v>
      </c>
      <c r="AD15" s="6">
        <f t="shared" si="45"/>
        <v>46312</v>
      </c>
      <c r="AE15" s="6">
        <f t="shared" si="45"/>
        <v>46313</v>
      </c>
      <c r="AF15" s="2"/>
      <c r="AG15" s="8">
        <f>AM14+1</f>
        <v>46342</v>
      </c>
      <c r="AH15" s="8">
        <f>AG15+1</f>
        <v>46343</v>
      </c>
      <c r="AI15" s="8">
        <f t="shared" ref="AI15:AM15" si="46">AH15+1</f>
        <v>46344</v>
      </c>
      <c r="AJ15" s="8">
        <f t="shared" si="46"/>
        <v>46345</v>
      </c>
      <c r="AK15" s="8">
        <f t="shared" si="46"/>
        <v>46346</v>
      </c>
      <c r="AL15" s="6">
        <f t="shared" si="46"/>
        <v>46347</v>
      </c>
      <c r="AM15" s="6">
        <f t="shared" si="46"/>
        <v>46348</v>
      </c>
      <c r="AN15" s="2"/>
      <c r="AO15" s="18">
        <f>AU14+1</f>
        <v>46370</v>
      </c>
      <c r="AP15" s="18">
        <f>AO15+1</f>
        <v>46371</v>
      </c>
      <c r="AQ15" s="18">
        <f t="shared" ref="AQ15:AU15" si="47">AP15+1</f>
        <v>46372</v>
      </c>
      <c r="AR15" s="18">
        <f t="shared" si="47"/>
        <v>46373</v>
      </c>
      <c r="AS15" s="6">
        <f t="shared" si="47"/>
        <v>46374</v>
      </c>
      <c r="AT15" s="6">
        <f t="shared" si="47"/>
        <v>46375</v>
      </c>
      <c r="AU15" s="6">
        <f t="shared" si="47"/>
        <v>46376</v>
      </c>
    </row>
    <row r="16" spans="1:47" x14ac:dyDescent="0.35">
      <c r="A16" s="2">
        <f>G15+1</f>
        <v>46223</v>
      </c>
      <c r="B16" s="2">
        <f>A16+1</f>
        <v>46224</v>
      </c>
      <c r="C16" s="6">
        <f t="shared" ref="C16:G16" si="48">B16+1</f>
        <v>46225</v>
      </c>
      <c r="D16" s="6">
        <f t="shared" si="48"/>
        <v>46226</v>
      </c>
      <c r="E16" s="6">
        <f t="shared" si="48"/>
        <v>46227</v>
      </c>
      <c r="F16" s="6">
        <f t="shared" si="48"/>
        <v>46228</v>
      </c>
      <c r="G16" s="6">
        <f t="shared" si="48"/>
        <v>46229</v>
      </c>
      <c r="H16" s="2"/>
      <c r="I16" s="6">
        <f>O15+1</f>
        <v>46251</v>
      </c>
      <c r="J16" s="6">
        <f>I16+1</f>
        <v>46252</v>
      </c>
      <c r="K16" s="6">
        <f t="shared" ref="K16:O16" si="49">J16+1</f>
        <v>46253</v>
      </c>
      <c r="L16" s="6">
        <f t="shared" si="49"/>
        <v>46254</v>
      </c>
      <c r="M16" s="6">
        <f t="shared" si="49"/>
        <v>46255</v>
      </c>
      <c r="N16" s="6">
        <f t="shared" si="49"/>
        <v>46256</v>
      </c>
      <c r="O16" s="6">
        <f t="shared" si="49"/>
        <v>46257</v>
      </c>
      <c r="P16" s="2"/>
      <c r="Q16" s="8">
        <f>W15+1</f>
        <v>46286</v>
      </c>
      <c r="R16" s="8">
        <f>Q16+1</f>
        <v>46287</v>
      </c>
      <c r="S16" s="8">
        <f t="shared" ref="S16:W16" si="50">R16+1</f>
        <v>46288</v>
      </c>
      <c r="T16" s="8">
        <f t="shared" si="50"/>
        <v>46289</v>
      </c>
      <c r="U16" s="8">
        <f t="shared" si="50"/>
        <v>46290</v>
      </c>
      <c r="V16" s="6">
        <f t="shared" si="50"/>
        <v>46291</v>
      </c>
      <c r="W16" s="6">
        <f t="shared" si="50"/>
        <v>46292</v>
      </c>
      <c r="X16" s="2"/>
      <c r="Y16" s="6">
        <f>AE15+1</f>
        <v>46314</v>
      </c>
      <c r="Z16" s="6">
        <f>Y16+1</f>
        <v>46315</v>
      </c>
      <c r="AA16" s="6">
        <f t="shared" ref="AA16:AE16" si="51">Z16+1</f>
        <v>46316</v>
      </c>
      <c r="AB16" s="6">
        <f t="shared" si="51"/>
        <v>46317</v>
      </c>
      <c r="AC16" s="6">
        <f t="shared" si="51"/>
        <v>46318</v>
      </c>
      <c r="AD16" s="6">
        <f t="shared" si="51"/>
        <v>46319</v>
      </c>
      <c r="AE16" s="6">
        <f t="shared" si="51"/>
        <v>46320</v>
      </c>
      <c r="AF16" s="2"/>
      <c r="AG16" s="15">
        <f>AM15+1</f>
        <v>46349</v>
      </c>
      <c r="AH16" s="15">
        <f>AG16+1</f>
        <v>46350</v>
      </c>
      <c r="AI16" s="15">
        <f t="shared" ref="AI16:AM16" si="52">AH16+1</f>
        <v>46351</v>
      </c>
      <c r="AJ16" s="15">
        <f t="shared" si="52"/>
        <v>46352</v>
      </c>
      <c r="AK16" s="15">
        <f t="shared" si="52"/>
        <v>46353</v>
      </c>
      <c r="AL16" s="6">
        <f t="shared" si="52"/>
        <v>46354</v>
      </c>
      <c r="AM16" s="6">
        <f t="shared" si="52"/>
        <v>46355</v>
      </c>
      <c r="AN16" s="2"/>
      <c r="AO16" s="6">
        <f>AU15+1</f>
        <v>46377</v>
      </c>
      <c r="AP16" s="6">
        <f>AO16+1</f>
        <v>46378</v>
      </c>
      <c r="AQ16" s="6">
        <f t="shared" ref="AQ16:AU16" si="53">AP16+1</f>
        <v>46379</v>
      </c>
      <c r="AR16" s="6">
        <f t="shared" si="53"/>
        <v>46380</v>
      </c>
      <c r="AS16" s="6">
        <f t="shared" si="53"/>
        <v>46381</v>
      </c>
      <c r="AT16" s="6">
        <f t="shared" si="53"/>
        <v>46382</v>
      </c>
      <c r="AU16" s="6">
        <f t="shared" si="53"/>
        <v>46383</v>
      </c>
    </row>
    <row r="17" spans="1:47" x14ac:dyDescent="0.35">
      <c r="A17" s="9">
        <f>G16+1</f>
        <v>46230</v>
      </c>
      <c r="B17" s="6">
        <f>A17+1</f>
        <v>46231</v>
      </c>
      <c r="C17" s="6">
        <f t="shared" ref="C17:G17" si="54">B17+1</f>
        <v>46232</v>
      </c>
      <c r="D17" s="6">
        <f t="shared" si="54"/>
        <v>46233</v>
      </c>
      <c r="E17" s="6">
        <f t="shared" si="54"/>
        <v>46234</v>
      </c>
      <c r="F17" s="2">
        <f t="shared" si="54"/>
        <v>46235</v>
      </c>
      <c r="G17" s="2">
        <f t="shared" si="54"/>
        <v>46236</v>
      </c>
      <c r="H17" s="2"/>
      <c r="I17" s="6">
        <f>O16+1</f>
        <v>46258</v>
      </c>
      <c r="J17" s="6">
        <f>I17+1</f>
        <v>46259</v>
      </c>
      <c r="K17" s="6">
        <f t="shared" ref="K17:O17" si="55">J17+1</f>
        <v>46260</v>
      </c>
      <c r="L17" s="6">
        <f t="shared" si="55"/>
        <v>46261</v>
      </c>
      <c r="M17" s="6">
        <f t="shared" si="55"/>
        <v>46262</v>
      </c>
      <c r="N17" s="6">
        <f t="shared" si="55"/>
        <v>46263</v>
      </c>
      <c r="O17" s="6">
        <f t="shared" si="55"/>
        <v>46264</v>
      </c>
      <c r="P17" s="2"/>
      <c r="Q17" s="6">
        <f>W16+1</f>
        <v>46293</v>
      </c>
      <c r="R17" s="6">
        <f>Q17+1</f>
        <v>46294</v>
      </c>
      <c r="S17" s="11">
        <f t="shared" ref="S17:W17" si="56">R17+1</f>
        <v>46295</v>
      </c>
      <c r="T17" s="2">
        <f t="shared" si="56"/>
        <v>46296</v>
      </c>
      <c r="U17" s="2">
        <f t="shared" si="56"/>
        <v>46297</v>
      </c>
      <c r="V17" s="2">
        <f t="shared" si="56"/>
        <v>46298</v>
      </c>
      <c r="W17" s="2">
        <f t="shared" si="56"/>
        <v>46299</v>
      </c>
      <c r="X17" s="2"/>
      <c r="Y17" s="6">
        <f>AE16+1</f>
        <v>46321</v>
      </c>
      <c r="Z17" s="6">
        <f>Y17+1</f>
        <v>46322</v>
      </c>
      <c r="AA17" s="6">
        <f t="shared" ref="AA17:AE17" si="57">Z17+1</f>
        <v>46323</v>
      </c>
      <c r="AB17" s="8">
        <f t="shared" si="57"/>
        <v>46324</v>
      </c>
      <c r="AC17" s="6">
        <f t="shared" si="57"/>
        <v>46325</v>
      </c>
      <c r="AD17" s="6">
        <f t="shared" si="57"/>
        <v>46326</v>
      </c>
      <c r="AE17" s="2">
        <f t="shared" si="57"/>
        <v>46327</v>
      </c>
      <c r="AF17" s="2"/>
      <c r="AG17" s="16">
        <f>AM16+1</f>
        <v>46356</v>
      </c>
      <c r="AH17" s="2">
        <f>AG17+1</f>
        <v>46357</v>
      </c>
      <c r="AI17" s="2">
        <f t="shared" ref="AI17:AM17" si="58">AH17+1</f>
        <v>46358</v>
      </c>
      <c r="AJ17" s="2">
        <f t="shared" si="58"/>
        <v>46359</v>
      </c>
      <c r="AK17" s="2">
        <f t="shared" si="58"/>
        <v>46360</v>
      </c>
      <c r="AL17" s="2">
        <f t="shared" si="58"/>
        <v>46361</v>
      </c>
      <c r="AM17" s="2">
        <f t="shared" si="58"/>
        <v>46362</v>
      </c>
      <c r="AN17" s="2"/>
      <c r="AO17" s="6">
        <f>AU16+1</f>
        <v>46384</v>
      </c>
      <c r="AP17" s="6">
        <f>AO17+1</f>
        <v>46385</v>
      </c>
      <c r="AQ17" s="6">
        <f t="shared" ref="AQ17:AU17" si="59">AP17+1</f>
        <v>46386</v>
      </c>
      <c r="AR17" s="6">
        <f t="shared" si="59"/>
        <v>46387</v>
      </c>
      <c r="AS17" s="2">
        <f t="shared" si="59"/>
        <v>46388</v>
      </c>
      <c r="AT17" s="2">
        <f t="shared" si="59"/>
        <v>46389</v>
      </c>
      <c r="AU17" s="2">
        <f t="shared" si="59"/>
        <v>46390</v>
      </c>
    </row>
    <row r="18" spans="1:47" ht="17" x14ac:dyDescent="0.4">
      <c r="I18" s="6">
        <f>O17+1</f>
        <v>46265</v>
      </c>
      <c r="J18" s="6"/>
      <c r="K18" s="6"/>
      <c r="L18" s="6"/>
      <c r="M18" s="6"/>
      <c r="N18" s="2"/>
      <c r="O18" s="2"/>
      <c r="AG18" s="27" t="s">
        <v>170</v>
      </c>
      <c r="AI18" s="24"/>
      <c r="AP18" s="24"/>
      <c r="AQ18" s="24"/>
    </row>
    <row r="19" spans="1:47" s="24" customFormat="1" ht="17" x14ac:dyDescent="0.4">
      <c r="A19" s="25" t="s">
        <v>8</v>
      </c>
      <c r="Q19" s="27" t="s">
        <v>11</v>
      </c>
      <c r="Y19" s="24" t="s">
        <v>167</v>
      </c>
      <c r="AG19" s="25" t="s">
        <v>12</v>
      </c>
      <c r="AO19" s="26" t="s">
        <v>15</v>
      </c>
    </row>
    <row r="20" spans="1:47" s="24" customFormat="1" ht="17" x14ac:dyDescent="0.4">
      <c r="A20" s="25" t="s">
        <v>9</v>
      </c>
      <c r="I20" s="24" t="s">
        <v>37</v>
      </c>
      <c r="Q20" s="27" t="s">
        <v>164</v>
      </c>
      <c r="Y20" s="33" t="s">
        <v>168</v>
      </c>
      <c r="AG20" s="28" t="s">
        <v>14</v>
      </c>
      <c r="AO20" s="24" t="s">
        <v>166</v>
      </c>
    </row>
    <row r="21" spans="1:47" s="24" customFormat="1" ht="17" x14ac:dyDescent="0.4">
      <c r="A21" s="27" t="s">
        <v>7</v>
      </c>
      <c r="Q21" s="25" t="s">
        <v>10</v>
      </c>
      <c r="Y21" s="25" t="s">
        <v>30</v>
      </c>
      <c r="AG21" s="24" t="s">
        <v>165</v>
      </c>
      <c r="AO21" s="27" t="s">
        <v>24</v>
      </c>
      <c r="AP21" s="30"/>
      <c r="AQ21" s="30"/>
    </row>
    <row r="22" spans="1:47" s="30" customFormat="1" ht="17" x14ac:dyDescent="0.4">
      <c r="A22" s="30" t="s">
        <v>29</v>
      </c>
      <c r="Q22" s="29" t="s">
        <v>169</v>
      </c>
      <c r="R22" s="24"/>
      <c r="Y22" s="30" t="s">
        <v>215</v>
      </c>
      <c r="AG22" s="26" t="s">
        <v>13</v>
      </c>
      <c r="AH22" s="24"/>
      <c r="AJ22" s="24"/>
      <c r="AO22" s="31" t="s">
        <v>16</v>
      </c>
    </row>
    <row r="23" spans="1:47" s="30" customFormat="1" ht="17" x14ac:dyDescent="0.4">
      <c r="Q23" s="34" t="s">
        <v>33</v>
      </c>
      <c r="Y23" s="24" t="s">
        <v>34</v>
      </c>
      <c r="AG23" s="30" t="s">
        <v>31</v>
      </c>
      <c r="AO23" s="32" t="s">
        <v>17</v>
      </c>
    </row>
    <row r="24" spans="1:47" s="30" customFormat="1" ht="17" x14ac:dyDescent="0.4">
      <c r="AG24" s="24" t="s">
        <v>34</v>
      </c>
      <c r="AO24" s="24" t="s">
        <v>35</v>
      </c>
    </row>
    <row r="25" spans="1:47" s="30" customFormat="1" ht="17" x14ac:dyDescent="0.4">
      <c r="AG25" s="24" t="s">
        <v>35</v>
      </c>
    </row>
    <row r="26" spans="1:47" x14ac:dyDescent="0.35">
      <c r="A26" s="42">
        <v>1</v>
      </c>
      <c r="B26" s="43">
        <f>DATE(G26,A26,1)</f>
        <v>46388</v>
      </c>
      <c r="C26" s="43"/>
      <c r="D26" s="43"/>
      <c r="E26" s="43"/>
      <c r="F26" s="43"/>
      <c r="G26" s="42">
        <v>2027</v>
      </c>
      <c r="I26" s="42">
        <v>2</v>
      </c>
      <c r="J26" s="43">
        <f>DATE(O26,I26,1)</f>
        <v>46419</v>
      </c>
      <c r="K26" s="43"/>
      <c r="L26" s="43"/>
      <c r="M26" s="43"/>
      <c r="N26" s="43"/>
      <c r="O26" s="42">
        <v>2027</v>
      </c>
      <c r="Q26" s="42">
        <v>3</v>
      </c>
      <c r="R26" s="43">
        <f>DATE(W26,Q26,1)</f>
        <v>46447</v>
      </c>
      <c r="S26" s="43"/>
      <c r="T26" s="43"/>
      <c r="U26" s="43"/>
      <c r="V26" s="43"/>
      <c r="W26" s="42">
        <v>2027</v>
      </c>
      <c r="Y26" s="42">
        <v>4</v>
      </c>
      <c r="Z26" s="43">
        <f>DATE(AE26,Y26,1)</f>
        <v>46478</v>
      </c>
      <c r="AA26" s="43"/>
      <c r="AB26" s="43"/>
      <c r="AC26" s="43"/>
      <c r="AD26" s="43"/>
      <c r="AE26" s="42">
        <v>2027</v>
      </c>
      <c r="AG26" s="42">
        <v>5</v>
      </c>
      <c r="AH26" s="43">
        <f>DATE(AM26,AG26,1)</f>
        <v>46508</v>
      </c>
      <c r="AI26" s="43"/>
      <c r="AJ26" s="43"/>
      <c r="AK26" s="43"/>
      <c r="AL26" s="43"/>
      <c r="AM26" s="42">
        <v>2027</v>
      </c>
      <c r="AO26" s="42">
        <v>6</v>
      </c>
      <c r="AP26" s="43">
        <f>DATE(AU26,AO26,1)</f>
        <v>46539</v>
      </c>
      <c r="AQ26" s="43"/>
      <c r="AR26" s="43"/>
      <c r="AS26" s="43"/>
      <c r="AT26" s="43"/>
      <c r="AU26" s="42">
        <v>2027</v>
      </c>
    </row>
    <row r="27" spans="1:47" x14ac:dyDescent="0.35">
      <c r="A27" s="42"/>
      <c r="B27" s="43"/>
      <c r="C27" s="43"/>
      <c r="D27" s="43"/>
      <c r="E27" s="43"/>
      <c r="F27" s="43"/>
      <c r="G27" s="42"/>
      <c r="I27" s="42"/>
      <c r="J27" s="43"/>
      <c r="K27" s="43"/>
      <c r="L27" s="43"/>
      <c r="M27" s="43"/>
      <c r="N27" s="43"/>
      <c r="O27" s="42"/>
      <c r="Q27" s="42"/>
      <c r="R27" s="43"/>
      <c r="S27" s="43"/>
      <c r="T27" s="43"/>
      <c r="U27" s="43"/>
      <c r="V27" s="43"/>
      <c r="W27" s="42"/>
      <c r="Y27" s="42"/>
      <c r="Z27" s="43"/>
      <c r="AA27" s="43"/>
      <c r="AB27" s="43"/>
      <c r="AC27" s="43"/>
      <c r="AD27" s="43"/>
      <c r="AE27" s="42"/>
      <c r="AG27" s="42"/>
      <c r="AH27" s="43"/>
      <c r="AI27" s="43"/>
      <c r="AJ27" s="43"/>
      <c r="AK27" s="43"/>
      <c r="AL27" s="43"/>
      <c r="AM27" s="42"/>
      <c r="AO27" s="42"/>
      <c r="AP27" s="43"/>
      <c r="AQ27" s="43"/>
      <c r="AR27" s="43"/>
      <c r="AS27" s="43"/>
      <c r="AT27" s="43"/>
      <c r="AU27" s="42"/>
    </row>
    <row r="28" spans="1:47" ht="15.5" x14ac:dyDescent="0.35">
      <c r="A28" s="3" t="s">
        <v>1</v>
      </c>
      <c r="B28" s="3" t="s">
        <v>2</v>
      </c>
      <c r="C28" s="3" t="s">
        <v>3</v>
      </c>
      <c r="D28" s="3" t="s">
        <v>4</v>
      </c>
      <c r="E28" s="3" t="s">
        <v>5</v>
      </c>
      <c r="F28" s="3" t="s">
        <v>6</v>
      </c>
      <c r="G28" s="3" t="s">
        <v>0</v>
      </c>
      <c r="I28" s="3" t="s">
        <v>1</v>
      </c>
      <c r="J28" s="3" t="s">
        <v>2</v>
      </c>
      <c r="K28" s="3" t="s">
        <v>3</v>
      </c>
      <c r="L28" s="3" t="s">
        <v>4</v>
      </c>
      <c r="M28" s="3" t="s">
        <v>5</v>
      </c>
      <c r="N28" s="3" t="s">
        <v>6</v>
      </c>
      <c r="O28" s="3" t="s">
        <v>0</v>
      </c>
      <c r="Q28" s="3" t="s">
        <v>1</v>
      </c>
      <c r="R28" s="3" t="s">
        <v>2</v>
      </c>
      <c r="S28" s="3" t="s">
        <v>3</v>
      </c>
      <c r="T28" s="3" t="s">
        <v>4</v>
      </c>
      <c r="U28" s="3" t="s">
        <v>5</v>
      </c>
      <c r="V28" s="3" t="s">
        <v>6</v>
      </c>
      <c r="W28" s="3" t="s">
        <v>0</v>
      </c>
      <c r="Y28" s="3" t="s">
        <v>1</v>
      </c>
      <c r="Z28" s="3" t="s">
        <v>2</v>
      </c>
      <c r="AA28" s="3" t="s">
        <v>3</v>
      </c>
      <c r="AB28" s="3" t="s">
        <v>4</v>
      </c>
      <c r="AC28" s="3" t="s">
        <v>5</v>
      </c>
      <c r="AD28" s="3" t="s">
        <v>6</v>
      </c>
      <c r="AE28" s="3" t="s">
        <v>0</v>
      </c>
      <c r="AG28" s="3" t="s">
        <v>1</v>
      </c>
      <c r="AH28" s="3" t="s">
        <v>2</v>
      </c>
      <c r="AI28" s="3" t="s">
        <v>3</v>
      </c>
      <c r="AJ28" s="3" t="s">
        <v>4</v>
      </c>
      <c r="AK28" s="3" t="s">
        <v>5</v>
      </c>
      <c r="AL28" s="3" t="s">
        <v>6</v>
      </c>
      <c r="AM28" s="3" t="s">
        <v>0</v>
      </c>
      <c r="AO28" s="3" t="s">
        <v>1</v>
      </c>
      <c r="AP28" s="3" t="s">
        <v>2</v>
      </c>
      <c r="AQ28" s="3" t="s">
        <v>3</v>
      </c>
      <c r="AR28" s="3" t="s">
        <v>4</v>
      </c>
      <c r="AS28" s="3" t="s">
        <v>5</v>
      </c>
      <c r="AT28" s="3" t="s">
        <v>6</v>
      </c>
      <c r="AU28" s="3" t="s">
        <v>0</v>
      </c>
    </row>
    <row r="29" spans="1:47" x14ac:dyDescent="0.35">
      <c r="A29" s="2">
        <f>B26-WEEKDAY(B26)+2</f>
        <v>46384</v>
      </c>
      <c r="B29" s="2">
        <f>A29+1</f>
        <v>46385</v>
      </c>
      <c r="C29" s="2">
        <f t="shared" ref="C29:G29" si="60">B29+1</f>
        <v>46386</v>
      </c>
      <c r="D29" s="2">
        <f t="shared" si="60"/>
        <v>46387</v>
      </c>
      <c r="E29" s="6">
        <f t="shared" si="60"/>
        <v>46388</v>
      </c>
      <c r="F29" s="6">
        <f t="shared" si="60"/>
        <v>46389</v>
      </c>
      <c r="G29" s="6">
        <f t="shared" si="60"/>
        <v>46390</v>
      </c>
      <c r="I29" s="7">
        <f>J26-WEEKDAY(J26)+2</f>
        <v>46419</v>
      </c>
      <c r="J29" s="7">
        <f>I29+1</f>
        <v>46420</v>
      </c>
      <c r="K29" s="7">
        <f t="shared" ref="K29:O29" si="61">J29+1</f>
        <v>46421</v>
      </c>
      <c r="L29" s="7">
        <f t="shared" si="61"/>
        <v>46422</v>
      </c>
      <c r="M29" s="7">
        <f t="shared" si="61"/>
        <v>46423</v>
      </c>
      <c r="N29" s="7">
        <f t="shared" si="61"/>
        <v>46424</v>
      </c>
      <c r="O29" s="6">
        <f t="shared" si="61"/>
        <v>46425</v>
      </c>
      <c r="Q29" s="6">
        <f>R26-WEEKDAY(R26)+2</f>
        <v>46447</v>
      </c>
      <c r="R29" s="6">
        <f>Q29+1</f>
        <v>46448</v>
      </c>
      <c r="S29" s="6">
        <f t="shared" ref="S29:W29" si="62">R29+1</f>
        <v>46449</v>
      </c>
      <c r="T29" s="6">
        <f t="shared" si="62"/>
        <v>46450</v>
      </c>
      <c r="U29" s="6">
        <f t="shared" si="62"/>
        <v>46451</v>
      </c>
      <c r="V29" s="6">
        <f t="shared" si="62"/>
        <v>46452</v>
      </c>
      <c r="W29" s="6">
        <f t="shared" si="62"/>
        <v>46453</v>
      </c>
      <c r="Y29" s="2">
        <f>Z26-WEEKDAY(Z26)+2</f>
        <v>46475</v>
      </c>
      <c r="Z29" s="2">
        <f>Y29+1</f>
        <v>46476</v>
      </c>
      <c r="AA29" s="2">
        <f t="shared" ref="AA29:AE29" si="63">Z29+1</f>
        <v>46477</v>
      </c>
      <c r="AB29" s="20">
        <f t="shared" si="63"/>
        <v>46478</v>
      </c>
      <c r="AC29" s="20">
        <f t="shared" si="63"/>
        <v>46479</v>
      </c>
      <c r="AD29" s="20">
        <f t="shared" si="63"/>
        <v>46480</v>
      </c>
      <c r="AE29" s="6">
        <f t="shared" si="63"/>
        <v>46481</v>
      </c>
      <c r="AG29" s="2">
        <f>AH26-WEEKDAY(AH26)+2</f>
        <v>46503</v>
      </c>
      <c r="AH29" s="2">
        <f>AG29+1</f>
        <v>46504</v>
      </c>
      <c r="AI29" s="2">
        <f t="shared" ref="AI29:AM29" si="64">AH29+1</f>
        <v>46505</v>
      </c>
      <c r="AJ29" s="2">
        <f t="shared" si="64"/>
        <v>46506</v>
      </c>
      <c r="AK29" s="2">
        <f t="shared" si="64"/>
        <v>46507</v>
      </c>
      <c r="AL29" s="6">
        <f t="shared" si="64"/>
        <v>46508</v>
      </c>
      <c r="AM29" s="6">
        <f t="shared" si="64"/>
        <v>46509</v>
      </c>
      <c r="AO29" s="12">
        <f>AP26-WEEKDAY(AP26)+2</f>
        <v>46538</v>
      </c>
      <c r="AP29" s="21">
        <f>AO29+1</f>
        <v>46539</v>
      </c>
      <c r="AQ29" s="21">
        <f t="shared" ref="AQ29:AU29" si="65">AP29+1</f>
        <v>46540</v>
      </c>
      <c r="AR29" s="21">
        <f t="shared" si="65"/>
        <v>46541</v>
      </c>
      <c r="AS29" s="21">
        <f t="shared" si="65"/>
        <v>46542</v>
      </c>
      <c r="AT29" s="6">
        <f t="shared" si="65"/>
        <v>46543</v>
      </c>
      <c r="AU29" s="6">
        <f t="shared" si="65"/>
        <v>46544</v>
      </c>
    </row>
    <row r="30" spans="1:47" x14ac:dyDescent="0.35">
      <c r="A30" s="7">
        <f>G29+1</f>
        <v>46391</v>
      </c>
      <c r="B30" s="7">
        <f>A30+1</f>
        <v>46392</v>
      </c>
      <c r="C30" s="7">
        <f t="shared" ref="C30:G30" si="66">B30+1</f>
        <v>46393</v>
      </c>
      <c r="D30" s="8">
        <f t="shared" si="66"/>
        <v>46394</v>
      </c>
      <c r="E30" s="7">
        <f t="shared" si="66"/>
        <v>46395</v>
      </c>
      <c r="F30" s="7">
        <f t="shared" si="66"/>
        <v>46396</v>
      </c>
      <c r="G30" s="6">
        <f t="shared" si="66"/>
        <v>46397</v>
      </c>
      <c r="I30" s="7">
        <f>O29+1</f>
        <v>46426</v>
      </c>
      <c r="J30" s="7">
        <f>I30+1</f>
        <v>46427</v>
      </c>
      <c r="K30" s="7">
        <f t="shared" ref="K30:O30" si="67">J30+1</f>
        <v>46428</v>
      </c>
      <c r="L30" s="7">
        <f t="shared" si="67"/>
        <v>46429</v>
      </c>
      <c r="M30" s="7">
        <f t="shared" si="67"/>
        <v>46430</v>
      </c>
      <c r="N30" s="7">
        <f t="shared" si="67"/>
        <v>46431</v>
      </c>
      <c r="O30" s="6">
        <f t="shared" si="67"/>
        <v>46432</v>
      </c>
      <c r="Q30" s="6">
        <f>W29+1</f>
        <v>46454</v>
      </c>
      <c r="R30" s="6">
        <f>Q30+1</f>
        <v>46455</v>
      </c>
      <c r="S30" s="6">
        <f t="shared" ref="S30:W30" si="68">R30+1</f>
        <v>46456</v>
      </c>
      <c r="T30" s="6">
        <f t="shared" si="68"/>
        <v>46457</v>
      </c>
      <c r="U30" s="6">
        <f t="shared" si="68"/>
        <v>46458</v>
      </c>
      <c r="V30" s="6">
        <f t="shared" si="68"/>
        <v>46459</v>
      </c>
      <c r="W30" s="6">
        <f t="shared" si="68"/>
        <v>46460</v>
      </c>
      <c r="Y30" s="6">
        <f>AE29+1</f>
        <v>46482</v>
      </c>
      <c r="Z30" s="6">
        <f>Y30+1</f>
        <v>46483</v>
      </c>
      <c r="AA30" s="6">
        <f t="shared" ref="AA30:AE30" si="69">Z30+1</f>
        <v>46484</v>
      </c>
      <c r="AB30" s="6">
        <f t="shared" si="69"/>
        <v>46485</v>
      </c>
      <c r="AC30" s="6">
        <f t="shared" si="69"/>
        <v>46486</v>
      </c>
      <c r="AD30" s="6">
        <f t="shared" si="69"/>
        <v>46487</v>
      </c>
      <c r="AE30" s="6">
        <f t="shared" si="69"/>
        <v>46488</v>
      </c>
      <c r="AG30" s="6">
        <f>AM29+1</f>
        <v>46510</v>
      </c>
      <c r="AH30" s="6">
        <f>AG30+1</f>
        <v>46511</v>
      </c>
      <c r="AI30" s="6">
        <f t="shared" ref="AI30:AM30" si="70">AH30+1</f>
        <v>46512</v>
      </c>
      <c r="AJ30" s="10">
        <f t="shared" si="70"/>
        <v>46513</v>
      </c>
      <c r="AK30" s="6">
        <f t="shared" si="70"/>
        <v>46514</v>
      </c>
      <c r="AL30" s="6">
        <f t="shared" si="70"/>
        <v>46515</v>
      </c>
      <c r="AM30" s="6">
        <f t="shared" si="70"/>
        <v>46516</v>
      </c>
      <c r="AO30" s="6">
        <f>AU29+1</f>
        <v>46545</v>
      </c>
      <c r="AP30" s="6">
        <f>AO30+1</f>
        <v>46546</v>
      </c>
      <c r="AQ30" s="6">
        <f t="shared" ref="AQ30:AU30" si="71">AP30+1</f>
        <v>46547</v>
      </c>
      <c r="AR30" s="6">
        <f t="shared" si="71"/>
        <v>46548</v>
      </c>
      <c r="AS30" s="6">
        <f t="shared" si="71"/>
        <v>46549</v>
      </c>
      <c r="AT30" s="6">
        <f t="shared" si="71"/>
        <v>46550</v>
      </c>
      <c r="AU30" s="6">
        <f t="shared" si="71"/>
        <v>46551</v>
      </c>
    </row>
    <row r="31" spans="1:47" x14ac:dyDescent="0.35">
      <c r="A31" s="7">
        <f>G30+1</f>
        <v>46398</v>
      </c>
      <c r="B31" s="7">
        <f>A31+1</f>
        <v>46399</v>
      </c>
      <c r="C31" s="7">
        <f t="shared" ref="C31:G31" si="72">B31+1</f>
        <v>46400</v>
      </c>
      <c r="D31" s="7">
        <f t="shared" si="72"/>
        <v>46401</v>
      </c>
      <c r="E31" s="7">
        <f t="shared" si="72"/>
        <v>46402</v>
      </c>
      <c r="F31" s="7">
        <f t="shared" si="72"/>
        <v>46403</v>
      </c>
      <c r="G31" s="6">
        <f t="shared" si="72"/>
        <v>46404</v>
      </c>
      <c r="I31" s="7">
        <f>O30+1</f>
        <v>46433</v>
      </c>
      <c r="J31" s="7">
        <f>I31+1</f>
        <v>46434</v>
      </c>
      <c r="K31" s="7">
        <f t="shared" ref="K31:O31" si="73">J31+1</f>
        <v>46435</v>
      </c>
      <c r="L31" s="7">
        <f t="shared" si="73"/>
        <v>46436</v>
      </c>
      <c r="M31" s="7">
        <f t="shared" si="73"/>
        <v>46437</v>
      </c>
      <c r="N31" s="7">
        <f t="shared" si="73"/>
        <v>46438</v>
      </c>
      <c r="O31" s="6">
        <f t="shared" si="73"/>
        <v>46439</v>
      </c>
      <c r="Q31" s="19">
        <f>W30+1</f>
        <v>46461</v>
      </c>
      <c r="R31" s="19">
        <f>Q31+1</f>
        <v>46462</v>
      </c>
      <c r="S31" s="19">
        <f t="shared" ref="S31:W31" si="74">R31+1</f>
        <v>46463</v>
      </c>
      <c r="T31" s="19">
        <f t="shared" si="74"/>
        <v>46464</v>
      </c>
      <c r="U31" s="19">
        <f t="shared" si="74"/>
        <v>46465</v>
      </c>
      <c r="V31" s="6">
        <f t="shared" si="74"/>
        <v>46466</v>
      </c>
      <c r="W31" s="6">
        <f t="shared" si="74"/>
        <v>46467</v>
      </c>
      <c r="Y31" s="6">
        <f>AE30+1</f>
        <v>46489</v>
      </c>
      <c r="Z31" s="6">
        <f>Y31+1</f>
        <v>46490</v>
      </c>
      <c r="AA31" s="6">
        <f t="shared" ref="AA31:AE31" si="75">Z31+1</f>
        <v>46491</v>
      </c>
      <c r="AB31" s="6">
        <f t="shared" si="75"/>
        <v>46492</v>
      </c>
      <c r="AC31" s="10">
        <f t="shared" si="75"/>
        <v>46493</v>
      </c>
      <c r="AD31" s="6">
        <f t="shared" si="75"/>
        <v>46494</v>
      </c>
      <c r="AE31" s="6">
        <f t="shared" si="75"/>
        <v>46495</v>
      </c>
      <c r="AG31" s="6">
        <f>AM30+1</f>
        <v>46517</v>
      </c>
      <c r="AH31" s="6">
        <f>AG31+1</f>
        <v>46518</v>
      </c>
      <c r="AI31" s="6">
        <f t="shared" ref="AI31:AM31" si="76">AH31+1</f>
        <v>46519</v>
      </c>
      <c r="AJ31" s="6">
        <f t="shared" si="76"/>
        <v>46520</v>
      </c>
      <c r="AK31" s="6">
        <f t="shared" si="76"/>
        <v>46521</v>
      </c>
      <c r="AL31" s="6">
        <f t="shared" si="76"/>
        <v>46522</v>
      </c>
      <c r="AM31" s="6">
        <f t="shared" si="76"/>
        <v>46523</v>
      </c>
      <c r="AO31" s="6">
        <f>AU30+1</f>
        <v>46552</v>
      </c>
      <c r="AP31" s="6">
        <f>AO31+1</f>
        <v>46553</v>
      </c>
      <c r="AQ31" s="6">
        <f t="shared" ref="AQ31:AU31" si="77">AP31+1</f>
        <v>46554</v>
      </c>
      <c r="AR31" s="6">
        <f t="shared" si="77"/>
        <v>46555</v>
      </c>
      <c r="AS31" s="6">
        <f t="shared" si="77"/>
        <v>46556</v>
      </c>
      <c r="AT31" s="6">
        <f t="shared" si="77"/>
        <v>46557</v>
      </c>
      <c r="AU31" s="6">
        <f t="shared" si="77"/>
        <v>46558</v>
      </c>
    </row>
    <row r="32" spans="1:47" x14ac:dyDescent="0.35">
      <c r="A32" s="7">
        <f>G31+1</f>
        <v>46405</v>
      </c>
      <c r="B32" s="7">
        <f>A32+1</f>
        <v>46406</v>
      </c>
      <c r="C32" s="7">
        <f t="shared" ref="C32:G32" si="78">B32+1</f>
        <v>46407</v>
      </c>
      <c r="D32" s="7">
        <f t="shared" si="78"/>
        <v>46408</v>
      </c>
      <c r="E32" s="7">
        <f t="shared" si="78"/>
        <v>46409</v>
      </c>
      <c r="F32" s="7">
        <f t="shared" si="78"/>
        <v>46410</v>
      </c>
      <c r="G32" s="6">
        <f t="shared" si="78"/>
        <v>46411</v>
      </c>
      <c r="I32" s="7">
        <f>O31+1</f>
        <v>46440</v>
      </c>
      <c r="J32" s="7">
        <f>I32+1</f>
        <v>46441</v>
      </c>
      <c r="K32" s="7">
        <f t="shared" ref="K32:O32" si="79">J32+1</f>
        <v>46442</v>
      </c>
      <c r="L32" s="7">
        <f t="shared" si="79"/>
        <v>46443</v>
      </c>
      <c r="M32" s="7">
        <f t="shared" si="79"/>
        <v>46444</v>
      </c>
      <c r="N32" s="7">
        <f t="shared" si="79"/>
        <v>46445</v>
      </c>
      <c r="O32" s="6">
        <f t="shared" si="79"/>
        <v>46446</v>
      </c>
      <c r="Q32" s="8">
        <f>W31+1</f>
        <v>46468</v>
      </c>
      <c r="R32" s="8">
        <f>Q32+1</f>
        <v>46469</v>
      </c>
      <c r="S32" s="8">
        <f t="shared" ref="S32:W32" si="80">R32+1</f>
        <v>46470</v>
      </c>
      <c r="T32" s="8">
        <f t="shared" si="80"/>
        <v>46471</v>
      </c>
      <c r="U32" s="8">
        <f t="shared" si="80"/>
        <v>46472</v>
      </c>
      <c r="V32" s="20">
        <f t="shared" si="80"/>
        <v>46473</v>
      </c>
      <c r="W32" s="20">
        <f t="shared" si="80"/>
        <v>46474</v>
      </c>
      <c r="Y32" s="6">
        <f>AE31+1</f>
        <v>46496</v>
      </c>
      <c r="Z32" s="6">
        <f>Y32+1</f>
        <v>46497</v>
      </c>
      <c r="AA32" s="6">
        <f t="shared" ref="AA32:AE32" si="81">Z32+1</f>
        <v>46498</v>
      </c>
      <c r="AB32" s="6">
        <f t="shared" si="81"/>
        <v>46499</v>
      </c>
      <c r="AC32" s="6">
        <f t="shared" si="81"/>
        <v>46500</v>
      </c>
      <c r="AD32" s="6">
        <f t="shared" si="81"/>
        <v>46501</v>
      </c>
      <c r="AE32" s="6">
        <f t="shared" si="81"/>
        <v>46502</v>
      </c>
      <c r="AG32" s="6">
        <f>AM31+1</f>
        <v>46524</v>
      </c>
      <c r="AH32" s="6">
        <f>AG32+1</f>
        <v>46525</v>
      </c>
      <c r="AI32" s="6">
        <f t="shared" ref="AI32:AM32" si="82">AH32+1</f>
        <v>46526</v>
      </c>
      <c r="AJ32" s="6">
        <f t="shared" si="82"/>
        <v>46527</v>
      </c>
      <c r="AK32" s="6">
        <f t="shared" si="82"/>
        <v>46528</v>
      </c>
      <c r="AL32" s="6">
        <f t="shared" si="82"/>
        <v>46529</v>
      </c>
      <c r="AM32" s="6">
        <f t="shared" si="82"/>
        <v>46530</v>
      </c>
      <c r="AO32" s="6">
        <f>AU31+1</f>
        <v>46559</v>
      </c>
      <c r="AP32" s="6">
        <f>AO32+1</f>
        <v>46560</v>
      </c>
      <c r="AQ32" s="6">
        <f t="shared" ref="AQ32:AU32" si="83">AP32+1</f>
        <v>46561</v>
      </c>
      <c r="AR32" s="6">
        <f t="shared" si="83"/>
        <v>46562</v>
      </c>
      <c r="AS32" s="17">
        <f t="shared" si="83"/>
        <v>46563</v>
      </c>
      <c r="AT32" s="8">
        <f t="shared" si="83"/>
        <v>46564</v>
      </c>
      <c r="AU32" s="6">
        <f t="shared" si="83"/>
        <v>46565</v>
      </c>
    </row>
    <row r="33" spans="1:47" x14ac:dyDescent="0.35">
      <c r="A33" s="13">
        <f>G32+1</f>
        <v>46412</v>
      </c>
      <c r="B33" s="7">
        <f>A33+1</f>
        <v>46413</v>
      </c>
      <c r="C33" s="7">
        <f t="shared" ref="C33:G33" si="84">B33+1</f>
        <v>46414</v>
      </c>
      <c r="D33" s="7">
        <f t="shared" si="84"/>
        <v>46415</v>
      </c>
      <c r="E33" s="7">
        <f t="shared" si="84"/>
        <v>46416</v>
      </c>
      <c r="F33" s="7">
        <f t="shared" si="84"/>
        <v>46417</v>
      </c>
      <c r="G33" s="6">
        <f t="shared" si="84"/>
        <v>46418</v>
      </c>
      <c r="I33" s="2">
        <f>O32+1</f>
        <v>46447</v>
      </c>
      <c r="J33" s="2">
        <f>I33+1</f>
        <v>46448</v>
      </c>
      <c r="K33" s="2">
        <f t="shared" ref="K33:O33" si="85">J33+1</f>
        <v>46449</v>
      </c>
      <c r="L33" s="2">
        <f t="shared" si="85"/>
        <v>46450</v>
      </c>
      <c r="M33" s="2">
        <f t="shared" si="85"/>
        <v>46451</v>
      </c>
      <c r="N33" s="2">
        <f t="shared" si="85"/>
        <v>46452</v>
      </c>
      <c r="O33" s="2">
        <f t="shared" si="85"/>
        <v>46453</v>
      </c>
      <c r="Q33" s="20">
        <f>W32+1</f>
        <v>46475</v>
      </c>
      <c r="R33" s="20">
        <f>Q33+1</f>
        <v>46476</v>
      </c>
      <c r="S33" s="10">
        <f t="shared" ref="S33:W33" si="86">R33+1</f>
        <v>46477</v>
      </c>
      <c r="T33" s="14">
        <f t="shared" si="86"/>
        <v>46478</v>
      </c>
      <c r="U33" s="14">
        <f t="shared" si="86"/>
        <v>46479</v>
      </c>
      <c r="V33" s="14">
        <f t="shared" si="86"/>
        <v>46480</v>
      </c>
      <c r="W33" s="2">
        <f t="shared" si="86"/>
        <v>46481</v>
      </c>
      <c r="Y33" s="6">
        <f>AE32+1</f>
        <v>46503</v>
      </c>
      <c r="Z33" s="6">
        <f>Y33+1</f>
        <v>46504</v>
      </c>
      <c r="AA33" s="6">
        <f t="shared" ref="AA33:AE33" si="87">Z33+1</f>
        <v>46505</v>
      </c>
      <c r="AB33" s="6">
        <f t="shared" si="87"/>
        <v>46506</v>
      </c>
      <c r="AC33" s="6">
        <f t="shared" si="87"/>
        <v>46507</v>
      </c>
      <c r="AD33" s="2">
        <f t="shared" si="87"/>
        <v>46508</v>
      </c>
      <c r="AE33" s="2">
        <f t="shared" si="87"/>
        <v>46509</v>
      </c>
      <c r="AG33" s="6">
        <f>AM32+1</f>
        <v>46531</v>
      </c>
      <c r="AH33" s="6">
        <f>AG33+1</f>
        <v>46532</v>
      </c>
      <c r="AI33" s="6">
        <f t="shared" ref="AI33:AM33" si="88">AH33+1</f>
        <v>46533</v>
      </c>
      <c r="AJ33" s="6">
        <f t="shared" si="88"/>
        <v>46534</v>
      </c>
      <c r="AK33" s="6">
        <f t="shared" si="88"/>
        <v>46535</v>
      </c>
      <c r="AL33" s="6">
        <f t="shared" si="88"/>
        <v>46536</v>
      </c>
      <c r="AM33" s="6">
        <f t="shared" si="88"/>
        <v>46537</v>
      </c>
      <c r="AO33" s="6">
        <f>AU32+1</f>
        <v>46566</v>
      </c>
      <c r="AP33" s="10">
        <f>AO33+1</f>
        <v>46567</v>
      </c>
      <c r="AQ33" s="6">
        <f t="shared" ref="AQ33:AU33" si="89">AP33+1</f>
        <v>46568</v>
      </c>
      <c r="AR33" s="2">
        <f t="shared" si="89"/>
        <v>46569</v>
      </c>
      <c r="AS33" s="2">
        <f t="shared" si="89"/>
        <v>46570</v>
      </c>
      <c r="AT33" s="2">
        <f t="shared" si="89"/>
        <v>46571</v>
      </c>
      <c r="AU33" s="2">
        <f t="shared" si="89"/>
        <v>46572</v>
      </c>
    </row>
    <row r="34" spans="1:47" x14ac:dyDescent="0.35">
      <c r="AG34" s="21">
        <f>AM33+1</f>
        <v>46538</v>
      </c>
      <c r="AH34" s="2"/>
      <c r="AI34" s="2"/>
      <c r="AJ34" s="2"/>
      <c r="AK34" s="2"/>
      <c r="AL34" s="2"/>
      <c r="AM34" s="2"/>
    </row>
    <row r="35" spans="1:47" s="30" customFormat="1" ht="17" x14ac:dyDescent="0.4">
      <c r="A35" s="32" t="s">
        <v>18</v>
      </c>
      <c r="I35" s="33" t="s">
        <v>23</v>
      </c>
      <c r="Q35" s="34" t="s">
        <v>25</v>
      </c>
      <c r="Y35" s="30" t="s">
        <v>26</v>
      </c>
      <c r="AO35" s="35" t="s">
        <v>22</v>
      </c>
    </row>
    <row r="36" spans="1:47" s="30" customFormat="1" ht="17" x14ac:dyDescent="0.4">
      <c r="A36" s="36" t="s">
        <v>214</v>
      </c>
      <c r="Q36" s="32" t="s">
        <v>19</v>
      </c>
      <c r="Y36" s="30" t="s">
        <v>209</v>
      </c>
      <c r="AG36" s="33" t="s">
        <v>32</v>
      </c>
      <c r="AO36" s="36" t="s">
        <v>27</v>
      </c>
    </row>
    <row r="37" spans="1:47" s="30" customFormat="1" ht="17" x14ac:dyDescent="0.4">
      <c r="A37" s="33" t="s">
        <v>202</v>
      </c>
      <c r="Q37" s="30" t="s">
        <v>26</v>
      </c>
      <c r="AG37" s="35" t="s">
        <v>22</v>
      </c>
      <c r="AO37" s="32" t="s">
        <v>21</v>
      </c>
    </row>
    <row r="38" spans="1:47" s="30" customFormat="1" ht="17" x14ac:dyDescent="0.4">
      <c r="A38" s="30" t="s">
        <v>36</v>
      </c>
      <c r="Q38" s="33" t="s">
        <v>20</v>
      </c>
      <c r="AG38" s="30" t="s">
        <v>208</v>
      </c>
      <c r="AO38" s="33" t="s">
        <v>28</v>
      </c>
    </row>
    <row r="39" spans="1:47" s="22" customFormat="1" ht="17" x14ac:dyDescent="0.4">
      <c r="Q39" s="23"/>
      <c r="AO39" s="23"/>
    </row>
    <row r="40" spans="1:47" x14ac:dyDescent="0.35">
      <c r="A40" s="40">
        <v>7</v>
      </c>
      <c r="B40" s="41">
        <f>DATE(G40,A40,1)</f>
        <v>46569</v>
      </c>
      <c r="C40" s="41"/>
      <c r="D40" s="41"/>
      <c r="E40" s="41"/>
      <c r="F40" s="41"/>
      <c r="G40" s="40">
        <v>2027</v>
      </c>
      <c r="I40" s="40">
        <v>8</v>
      </c>
      <c r="J40" s="41">
        <f>DATE(O40,I40,1)</f>
        <v>46600</v>
      </c>
      <c r="K40" s="41"/>
      <c r="L40" s="41"/>
      <c r="M40" s="41"/>
      <c r="N40" s="41"/>
      <c r="O40" s="40">
        <v>2027</v>
      </c>
      <c r="Q40" s="40">
        <v>9</v>
      </c>
      <c r="R40" s="41">
        <f>DATE(W40,Q40,1)</f>
        <v>46631</v>
      </c>
      <c r="S40" s="41"/>
      <c r="T40" s="41"/>
      <c r="U40" s="41"/>
      <c r="V40" s="41"/>
      <c r="W40" s="40">
        <v>2027</v>
      </c>
      <c r="Y40" s="40">
        <v>10</v>
      </c>
      <c r="Z40" s="41">
        <f>DATE(AE40,Y40,1)</f>
        <v>46661</v>
      </c>
      <c r="AA40" s="41"/>
      <c r="AB40" s="41"/>
      <c r="AC40" s="41"/>
      <c r="AD40" s="41"/>
      <c r="AE40" s="40">
        <v>2027</v>
      </c>
      <c r="AG40" s="40">
        <v>11</v>
      </c>
      <c r="AH40" s="41">
        <f>DATE(AM40,AG40,1)</f>
        <v>46692</v>
      </c>
      <c r="AI40" s="41"/>
      <c r="AJ40" s="41"/>
      <c r="AK40" s="41"/>
      <c r="AL40" s="41"/>
      <c r="AM40" s="40">
        <v>2027</v>
      </c>
      <c r="AO40" s="40">
        <v>12</v>
      </c>
      <c r="AP40" s="41">
        <f>DATE(AU40,AO40,1)</f>
        <v>46722</v>
      </c>
      <c r="AQ40" s="41"/>
      <c r="AR40" s="41"/>
      <c r="AS40" s="41"/>
      <c r="AT40" s="41"/>
      <c r="AU40" s="40">
        <v>2027</v>
      </c>
    </row>
    <row r="41" spans="1:47" x14ac:dyDescent="0.35">
      <c r="A41" s="40"/>
      <c r="B41" s="41"/>
      <c r="C41" s="41"/>
      <c r="D41" s="41"/>
      <c r="E41" s="41"/>
      <c r="F41" s="41"/>
      <c r="G41" s="40"/>
      <c r="I41" s="40"/>
      <c r="J41" s="41"/>
      <c r="K41" s="41"/>
      <c r="L41" s="41"/>
      <c r="M41" s="41"/>
      <c r="N41" s="41"/>
      <c r="O41" s="40"/>
      <c r="Q41" s="40"/>
      <c r="R41" s="41"/>
      <c r="S41" s="41"/>
      <c r="T41" s="41"/>
      <c r="U41" s="41"/>
      <c r="V41" s="41"/>
      <c r="W41" s="40"/>
      <c r="Y41" s="40"/>
      <c r="Z41" s="41"/>
      <c r="AA41" s="41"/>
      <c r="AB41" s="41"/>
      <c r="AC41" s="41"/>
      <c r="AD41" s="41"/>
      <c r="AE41" s="40"/>
      <c r="AG41" s="40"/>
      <c r="AH41" s="41"/>
      <c r="AI41" s="41"/>
      <c r="AJ41" s="41"/>
      <c r="AK41" s="41"/>
      <c r="AL41" s="41"/>
      <c r="AM41" s="40"/>
      <c r="AO41" s="40"/>
      <c r="AP41" s="41"/>
      <c r="AQ41" s="41"/>
      <c r="AR41" s="41"/>
      <c r="AS41" s="41"/>
      <c r="AT41" s="41"/>
      <c r="AU41" s="40"/>
    </row>
    <row r="42" spans="1:47" ht="15.5" x14ac:dyDescent="0.35">
      <c r="A42" s="3" t="s">
        <v>1</v>
      </c>
      <c r="B42" s="3" t="s">
        <v>2</v>
      </c>
      <c r="C42" s="3" t="s">
        <v>3</v>
      </c>
      <c r="D42" s="3" t="s">
        <v>4</v>
      </c>
      <c r="E42" s="3" t="s">
        <v>5</v>
      </c>
      <c r="F42" s="3" t="s">
        <v>6</v>
      </c>
      <c r="G42" s="3" t="s">
        <v>0</v>
      </c>
      <c r="I42" s="3" t="s">
        <v>1</v>
      </c>
      <c r="J42" s="3" t="s">
        <v>2</v>
      </c>
      <c r="K42" s="3" t="s">
        <v>3</v>
      </c>
      <c r="L42" s="3" t="s">
        <v>4</v>
      </c>
      <c r="M42" s="3" t="s">
        <v>5</v>
      </c>
      <c r="N42" s="3" t="s">
        <v>6</v>
      </c>
      <c r="O42" s="3" t="s">
        <v>0</v>
      </c>
      <c r="Q42" s="3" t="s">
        <v>1</v>
      </c>
      <c r="R42" s="3" t="s">
        <v>2</v>
      </c>
      <c r="S42" s="3" t="s">
        <v>3</v>
      </c>
      <c r="T42" s="3" t="s">
        <v>4</v>
      </c>
      <c r="U42" s="3" t="s">
        <v>5</v>
      </c>
      <c r="V42" s="3" t="s">
        <v>6</v>
      </c>
      <c r="W42" s="3" t="s">
        <v>0</v>
      </c>
      <c r="Y42" s="3" t="s">
        <v>1</v>
      </c>
      <c r="Z42" s="3" t="s">
        <v>2</v>
      </c>
      <c r="AA42" s="3" t="s">
        <v>3</v>
      </c>
      <c r="AB42" s="3" t="s">
        <v>4</v>
      </c>
      <c r="AC42" s="3" t="s">
        <v>5</v>
      </c>
      <c r="AD42" s="3" t="s">
        <v>6</v>
      </c>
      <c r="AE42" s="3" t="s">
        <v>0</v>
      </c>
      <c r="AG42" s="3" t="s">
        <v>1</v>
      </c>
      <c r="AH42" s="3" t="s">
        <v>2</v>
      </c>
      <c r="AI42" s="3" t="s">
        <v>3</v>
      </c>
      <c r="AJ42" s="3" t="s">
        <v>4</v>
      </c>
      <c r="AK42" s="3" t="s">
        <v>5</v>
      </c>
      <c r="AL42" s="3" t="s">
        <v>6</v>
      </c>
      <c r="AM42" s="3" t="s">
        <v>0</v>
      </c>
      <c r="AO42" s="3" t="s">
        <v>1</v>
      </c>
      <c r="AP42" s="3" t="s">
        <v>2</v>
      </c>
      <c r="AQ42" s="3" t="s">
        <v>3</v>
      </c>
      <c r="AR42" s="3" t="s">
        <v>4</v>
      </c>
      <c r="AS42" s="3" t="s">
        <v>5</v>
      </c>
      <c r="AT42" s="3" t="s">
        <v>6</v>
      </c>
      <c r="AU42" s="3" t="s">
        <v>0</v>
      </c>
    </row>
    <row r="43" spans="1:47" x14ac:dyDescent="0.35">
      <c r="A43" s="2">
        <f>B40-WEEKDAY(B40)+2</f>
        <v>46566</v>
      </c>
      <c r="B43" s="2">
        <f>A43+1</f>
        <v>46567</v>
      </c>
      <c r="C43" s="2">
        <f t="shared" ref="C43:G43" si="90">B43+1</f>
        <v>46568</v>
      </c>
      <c r="D43" s="2">
        <f t="shared" si="90"/>
        <v>46569</v>
      </c>
      <c r="E43" s="2">
        <f t="shared" si="90"/>
        <v>46570</v>
      </c>
      <c r="F43" s="2">
        <f t="shared" si="90"/>
        <v>46571</v>
      </c>
      <c r="G43" s="2">
        <f t="shared" si="90"/>
        <v>46572</v>
      </c>
      <c r="I43" s="2">
        <f>J40-WEEKDAY(J40)+2</f>
        <v>46601</v>
      </c>
      <c r="J43" s="2">
        <f>I43+1</f>
        <v>46602</v>
      </c>
      <c r="K43" s="2">
        <f t="shared" ref="K43:O43" si="91">J43+1</f>
        <v>46603</v>
      </c>
      <c r="L43" s="2">
        <f t="shared" si="91"/>
        <v>46604</v>
      </c>
      <c r="M43" s="2">
        <f t="shared" si="91"/>
        <v>46605</v>
      </c>
      <c r="N43" s="2">
        <f t="shared" si="91"/>
        <v>46606</v>
      </c>
      <c r="O43" s="2">
        <f t="shared" si="91"/>
        <v>46607</v>
      </c>
      <c r="Q43" s="2">
        <f>R40-WEEKDAY(R40)+2</f>
        <v>46629</v>
      </c>
      <c r="R43" s="2">
        <f>Q43+1</f>
        <v>46630</v>
      </c>
      <c r="S43" s="2">
        <f t="shared" ref="S43:W43" si="92">R43+1</f>
        <v>46631</v>
      </c>
      <c r="T43" s="2">
        <f t="shared" si="92"/>
        <v>46632</v>
      </c>
      <c r="U43" s="2">
        <f t="shared" si="92"/>
        <v>46633</v>
      </c>
      <c r="V43" s="2">
        <f t="shared" si="92"/>
        <v>46634</v>
      </c>
      <c r="W43" s="2">
        <f t="shared" si="92"/>
        <v>46635</v>
      </c>
      <c r="Y43" s="2">
        <f>Z40-WEEKDAY(Z40)+2</f>
        <v>46657</v>
      </c>
      <c r="Z43" s="2">
        <f>Y43+1</f>
        <v>46658</v>
      </c>
      <c r="AA43" s="2">
        <f t="shared" ref="AA43:AE43" si="93">Z43+1</f>
        <v>46659</v>
      </c>
      <c r="AB43" s="2">
        <f t="shared" si="93"/>
        <v>46660</v>
      </c>
      <c r="AC43" s="2">
        <f t="shared" si="93"/>
        <v>46661</v>
      </c>
      <c r="AD43" s="2">
        <f t="shared" si="93"/>
        <v>46662</v>
      </c>
      <c r="AE43" s="2">
        <f t="shared" si="93"/>
        <v>46663</v>
      </c>
      <c r="AG43" s="2">
        <f>AH40-WEEKDAY(AH40)+2</f>
        <v>46692</v>
      </c>
      <c r="AH43" s="2">
        <f>AG43+1</f>
        <v>46693</v>
      </c>
      <c r="AI43" s="2">
        <f t="shared" ref="AI43:AM43" si="94">AH43+1</f>
        <v>46694</v>
      </c>
      <c r="AJ43" s="2">
        <f t="shared" si="94"/>
        <v>46695</v>
      </c>
      <c r="AK43" s="2">
        <f t="shared" si="94"/>
        <v>46696</v>
      </c>
      <c r="AL43" s="2">
        <f t="shared" si="94"/>
        <v>46697</v>
      </c>
      <c r="AM43" s="2">
        <f t="shared" si="94"/>
        <v>46698</v>
      </c>
      <c r="AO43" s="2">
        <f>AP40-WEEKDAY(AP40)+2</f>
        <v>46720</v>
      </c>
      <c r="AP43" s="2">
        <f>AO43+1</f>
        <v>46721</v>
      </c>
      <c r="AQ43" s="2">
        <f t="shared" ref="AQ43:AU43" si="95">AP43+1</f>
        <v>46722</v>
      </c>
      <c r="AR43" s="2">
        <f t="shared" si="95"/>
        <v>46723</v>
      </c>
      <c r="AS43" s="2">
        <f t="shared" si="95"/>
        <v>46724</v>
      </c>
      <c r="AT43" s="2">
        <f t="shared" si="95"/>
        <v>46725</v>
      </c>
      <c r="AU43" s="2">
        <f t="shared" si="95"/>
        <v>46726</v>
      </c>
    </row>
    <row r="44" spans="1:47" x14ac:dyDescent="0.35">
      <c r="A44" s="2">
        <f>G43+1</f>
        <v>46573</v>
      </c>
      <c r="B44" s="2">
        <f>A44+1</f>
        <v>46574</v>
      </c>
      <c r="C44" s="2">
        <f t="shared" ref="C44:G44" si="96">B44+1</f>
        <v>46575</v>
      </c>
      <c r="D44" s="2">
        <f t="shared" si="96"/>
        <v>46576</v>
      </c>
      <c r="E44" s="2">
        <f t="shared" si="96"/>
        <v>46577</v>
      </c>
      <c r="F44" s="2">
        <f t="shared" si="96"/>
        <v>46578</v>
      </c>
      <c r="G44" s="2">
        <f t="shared" si="96"/>
        <v>46579</v>
      </c>
      <c r="I44" s="2">
        <f>O43+1</f>
        <v>46608</v>
      </c>
      <c r="J44" s="2">
        <f>I44+1</f>
        <v>46609</v>
      </c>
      <c r="K44" s="2">
        <f t="shared" ref="K44:O44" si="97">J44+1</f>
        <v>46610</v>
      </c>
      <c r="L44" s="2">
        <f t="shared" si="97"/>
        <v>46611</v>
      </c>
      <c r="M44" s="2">
        <f t="shared" si="97"/>
        <v>46612</v>
      </c>
      <c r="N44" s="2">
        <f t="shared" si="97"/>
        <v>46613</v>
      </c>
      <c r="O44" s="2">
        <f t="shared" si="97"/>
        <v>46614</v>
      </c>
      <c r="Q44" s="2">
        <f>W43+1</f>
        <v>46636</v>
      </c>
      <c r="R44" s="2">
        <f>Q44+1</f>
        <v>46637</v>
      </c>
      <c r="S44" s="2">
        <f t="shared" ref="S44:W44" si="98">R44+1</f>
        <v>46638</v>
      </c>
      <c r="T44" s="2">
        <f t="shared" si="98"/>
        <v>46639</v>
      </c>
      <c r="U44" s="2">
        <f t="shared" si="98"/>
        <v>46640</v>
      </c>
      <c r="V44" s="2">
        <f t="shared" si="98"/>
        <v>46641</v>
      </c>
      <c r="W44" s="2">
        <f t="shared" si="98"/>
        <v>46642</v>
      </c>
      <c r="Y44" s="2">
        <f>AE43+1</f>
        <v>46664</v>
      </c>
      <c r="Z44" s="2">
        <f>Y44+1</f>
        <v>46665</v>
      </c>
      <c r="AA44" s="2">
        <f t="shared" ref="AA44:AE44" si="99">Z44+1</f>
        <v>46666</v>
      </c>
      <c r="AB44" s="2">
        <f t="shared" si="99"/>
        <v>46667</v>
      </c>
      <c r="AC44" s="2">
        <f t="shared" si="99"/>
        <v>46668</v>
      </c>
      <c r="AD44" s="2">
        <f t="shared" si="99"/>
        <v>46669</v>
      </c>
      <c r="AE44" s="2">
        <f t="shared" si="99"/>
        <v>46670</v>
      </c>
      <c r="AG44" s="2">
        <f>AM43+1</f>
        <v>46699</v>
      </c>
      <c r="AH44" s="2">
        <f>AG44+1</f>
        <v>46700</v>
      </c>
      <c r="AI44" s="2">
        <f t="shared" ref="AI44:AM44" si="100">AH44+1</f>
        <v>46701</v>
      </c>
      <c r="AJ44" s="2">
        <f t="shared" si="100"/>
        <v>46702</v>
      </c>
      <c r="AK44" s="2">
        <f t="shared" si="100"/>
        <v>46703</v>
      </c>
      <c r="AL44" s="2">
        <f t="shared" si="100"/>
        <v>46704</v>
      </c>
      <c r="AM44" s="2">
        <f t="shared" si="100"/>
        <v>46705</v>
      </c>
      <c r="AO44" s="2">
        <f>AU43+1</f>
        <v>46727</v>
      </c>
      <c r="AP44" s="2">
        <f>AO44+1</f>
        <v>46728</v>
      </c>
      <c r="AQ44" s="2">
        <f t="shared" ref="AQ44:AU44" si="101">AP44+1</f>
        <v>46729</v>
      </c>
      <c r="AR44" s="2">
        <f t="shared" si="101"/>
        <v>46730</v>
      </c>
      <c r="AS44" s="2">
        <f t="shared" si="101"/>
        <v>46731</v>
      </c>
      <c r="AT44" s="2">
        <f t="shared" si="101"/>
        <v>46732</v>
      </c>
      <c r="AU44" s="2">
        <f t="shared" si="101"/>
        <v>46733</v>
      </c>
    </row>
    <row r="45" spans="1:47" x14ac:dyDescent="0.35">
      <c r="A45" s="2">
        <f>G44+1</f>
        <v>46580</v>
      </c>
      <c r="B45" s="2">
        <f>A45+1</f>
        <v>46581</v>
      </c>
      <c r="C45" s="2">
        <f t="shared" ref="C45:G45" si="102">B45+1</f>
        <v>46582</v>
      </c>
      <c r="D45" s="2">
        <f t="shared" si="102"/>
        <v>46583</v>
      </c>
      <c r="E45" s="2">
        <f t="shared" si="102"/>
        <v>46584</v>
      </c>
      <c r="F45" s="2">
        <f t="shared" si="102"/>
        <v>46585</v>
      </c>
      <c r="G45" s="2">
        <f t="shared" si="102"/>
        <v>46586</v>
      </c>
      <c r="I45" s="2">
        <f>O44+1</f>
        <v>46615</v>
      </c>
      <c r="J45" s="2">
        <f>I45+1</f>
        <v>46616</v>
      </c>
      <c r="K45" s="2">
        <f t="shared" ref="K45:O45" si="103">J45+1</f>
        <v>46617</v>
      </c>
      <c r="L45" s="2">
        <f t="shared" si="103"/>
        <v>46618</v>
      </c>
      <c r="M45" s="2">
        <f t="shared" si="103"/>
        <v>46619</v>
      </c>
      <c r="N45" s="2">
        <f t="shared" si="103"/>
        <v>46620</v>
      </c>
      <c r="O45" s="2">
        <f t="shared" si="103"/>
        <v>46621</v>
      </c>
      <c r="Q45" s="2">
        <f>W44+1</f>
        <v>46643</v>
      </c>
      <c r="R45" s="2">
        <f>Q45+1</f>
        <v>46644</v>
      </c>
      <c r="S45" s="2">
        <f t="shared" ref="S45:W45" si="104">R45+1</f>
        <v>46645</v>
      </c>
      <c r="T45" s="2">
        <f t="shared" si="104"/>
        <v>46646</v>
      </c>
      <c r="U45" s="2">
        <f t="shared" si="104"/>
        <v>46647</v>
      </c>
      <c r="V45" s="2">
        <f t="shared" si="104"/>
        <v>46648</v>
      </c>
      <c r="W45" s="2">
        <f t="shared" si="104"/>
        <v>46649</v>
      </c>
      <c r="Y45" s="2">
        <f>AE44+1</f>
        <v>46671</v>
      </c>
      <c r="Z45" s="2">
        <f>Y45+1</f>
        <v>46672</v>
      </c>
      <c r="AA45" s="2">
        <f t="shared" ref="AA45:AE45" si="105">Z45+1</f>
        <v>46673</v>
      </c>
      <c r="AB45" s="2">
        <f t="shared" si="105"/>
        <v>46674</v>
      </c>
      <c r="AC45" s="2">
        <f t="shared" si="105"/>
        <v>46675</v>
      </c>
      <c r="AD45" s="2">
        <f t="shared" si="105"/>
        <v>46676</v>
      </c>
      <c r="AE45" s="2">
        <f t="shared" si="105"/>
        <v>46677</v>
      </c>
      <c r="AG45" s="2">
        <f>AM44+1</f>
        <v>46706</v>
      </c>
      <c r="AH45" s="2">
        <f>AG45+1</f>
        <v>46707</v>
      </c>
      <c r="AI45" s="2">
        <f t="shared" ref="AI45:AM45" si="106">AH45+1</f>
        <v>46708</v>
      </c>
      <c r="AJ45" s="2">
        <f t="shared" si="106"/>
        <v>46709</v>
      </c>
      <c r="AK45" s="2">
        <f t="shared" si="106"/>
        <v>46710</v>
      </c>
      <c r="AL45" s="2">
        <f t="shared" si="106"/>
        <v>46711</v>
      </c>
      <c r="AM45" s="2">
        <f t="shared" si="106"/>
        <v>46712</v>
      </c>
      <c r="AO45" s="2">
        <f>AU44+1</f>
        <v>46734</v>
      </c>
      <c r="AP45" s="2">
        <f>AO45+1</f>
        <v>46735</v>
      </c>
      <c r="AQ45" s="2">
        <f t="shared" ref="AQ45:AU45" si="107">AP45+1</f>
        <v>46736</v>
      </c>
      <c r="AR45" s="2">
        <f t="shared" si="107"/>
        <v>46737</v>
      </c>
      <c r="AS45" s="2">
        <f t="shared" si="107"/>
        <v>46738</v>
      </c>
      <c r="AT45" s="2">
        <f t="shared" si="107"/>
        <v>46739</v>
      </c>
      <c r="AU45" s="2">
        <f t="shared" si="107"/>
        <v>46740</v>
      </c>
    </row>
    <row r="46" spans="1:47" x14ac:dyDescent="0.35">
      <c r="A46" s="2">
        <f>G45+1</f>
        <v>46587</v>
      </c>
      <c r="B46" s="2">
        <f>A46+1</f>
        <v>46588</v>
      </c>
      <c r="C46" s="2">
        <f t="shared" ref="C46:G46" si="108">B46+1</f>
        <v>46589</v>
      </c>
      <c r="D46" s="2">
        <f t="shared" si="108"/>
        <v>46590</v>
      </c>
      <c r="E46" s="2">
        <f t="shared" si="108"/>
        <v>46591</v>
      </c>
      <c r="F46" s="2">
        <f t="shared" si="108"/>
        <v>46592</v>
      </c>
      <c r="G46" s="2">
        <f t="shared" si="108"/>
        <v>46593</v>
      </c>
      <c r="I46" s="2">
        <f>O45+1</f>
        <v>46622</v>
      </c>
      <c r="J46" s="2">
        <f>I46+1</f>
        <v>46623</v>
      </c>
      <c r="K46" s="2">
        <f t="shared" ref="K46:O46" si="109">J46+1</f>
        <v>46624</v>
      </c>
      <c r="L46" s="2">
        <f t="shared" si="109"/>
        <v>46625</v>
      </c>
      <c r="M46" s="2">
        <f t="shared" si="109"/>
        <v>46626</v>
      </c>
      <c r="N46" s="2">
        <f t="shared" si="109"/>
        <v>46627</v>
      </c>
      <c r="O46" s="2">
        <f t="shared" si="109"/>
        <v>46628</v>
      </c>
      <c r="Q46" s="2">
        <f>W45+1</f>
        <v>46650</v>
      </c>
      <c r="R46" s="2">
        <f>Q46+1</f>
        <v>46651</v>
      </c>
      <c r="S46" s="2">
        <f t="shared" ref="S46:W46" si="110">R46+1</f>
        <v>46652</v>
      </c>
      <c r="T46" s="2">
        <f t="shared" si="110"/>
        <v>46653</v>
      </c>
      <c r="U46" s="2">
        <f t="shared" si="110"/>
        <v>46654</v>
      </c>
      <c r="V46" s="2">
        <f t="shared" si="110"/>
        <v>46655</v>
      </c>
      <c r="W46" s="2">
        <f t="shared" si="110"/>
        <v>46656</v>
      </c>
      <c r="Y46" s="2">
        <f>AE45+1</f>
        <v>46678</v>
      </c>
      <c r="Z46" s="2">
        <f>Y46+1</f>
        <v>46679</v>
      </c>
      <c r="AA46" s="2">
        <f t="shared" ref="AA46:AE46" si="111">Z46+1</f>
        <v>46680</v>
      </c>
      <c r="AB46" s="2">
        <f t="shared" si="111"/>
        <v>46681</v>
      </c>
      <c r="AC46" s="2">
        <f t="shared" si="111"/>
        <v>46682</v>
      </c>
      <c r="AD46" s="2">
        <f t="shared" si="111"/>
        <v>46683</v>
      </c>
      <c r="AE46" s="2">
        <f t="shared" si="111"/>
        <v>46684</v>
      </c>
      <c r="AG46" s="2">
        <f>AM45+1</f>
        <v>46713</v>
      </c>
      <c r="AH46" s="2">
        <f>AG46+1</f>
        <v>46714</v>
      </c>
      <c r="AI46" s="2">
        <f t="shared" ref="AI46:AM46" si="112">AH46+1</f>
        <v>46715</v>
      </c>
      <c r="AJ46" s="2">
        <f t="shared" si="112"/>
        <v>46716</v>
      </c>
      <c r="AK46" s="2">
        <f t="shared" si="112"/>
        <v>46717</v>
      </c>
      <c r="AL46" s="2">
        <f t="shared" si="112"/>
        <v>46718</v>
      </c>
      <c r="AM46" s="2">
        <f t="shared" si="112"/>
        <v>46719</v>
      </c>
      <c r="AO46" s="2">
        <f>AU45+1</f>
        <v>46741</v>
      </c>
      <c r="AP46" s="2">
        <f>AO46+1</f>
        <v>46742</v>
      </c>
      <c r="AQ46" s="2">
        <f t="shared" ref="AQ46:AU46" si="113">AP46+1</f>
        <v>46743</v>
      </c>
      <c r="AR46" s="2">
        <f t="shared" si="113"/>
        <v>46744</v>
      </c>
      <c r="AS46" s="2">
        <f t="shared" si="113"/>
        <v>46745</v>
      </c>
      <c r="AT46" s="2">
        <f t="shared" si="113"/>
        <v>46746</v>
      </c>
      <c r="AU46" s="2">
        <f t="shared" si="113"/>
        <v>46747</v>
      </c>
    </row>
    <row r="47" spans="1:47" x14ac:dyDescent="0.35">
      <c r="A47" s="2">
        <f>G46+1</f>
        <v>46594</v>
      </c>
      <c r="B47" s="2">
        <f>A47+1</f>
        <v>46595</v>
      </c>
      <c r="C47" s="2">
        <f t="shared" ref="C47:G47" si="114">B47+1</f>
        <v>46596</v>
      </c>
      <c r="D47" s="2">
        <f t="shared" si="114"/>
        <v>46597</v>
      </c>
      <c r="E47" s="2">
        <f t="shared" si="114"/>
        <v>46598</v>
      </c>
      <c r="F47" s="2">
        <f t="shared" si="114"/>
        <v>46599</v>
      </c>
      <c r="G47" s="2">
        <f t="shared" si="114"/>
        <v>46600</v>
      </c>
      <c r="I47" s="2">
        <f>O46+1</f>
        <v>46629</v>
      </c>
      <c r="J47" s="2">
        <f>I47+1</f>
        <v>46630</v>
      </c>
      <c r="K47" s="2">
        <f t="shared" ref="K47:O47" si="115">J47+1</f>
        <v>46631</v>
      </c>
      <c r="L47" s="2">
        <f t="shared" si="115"/>
        <v>46632</v>
      </c>
      <c r="M47" s="2">
        <f t="shared" si="115"/>
        <v>46633</v>
      </c>
      <c r="N47" s="2">
        <f t="shared" si="115"/>
        <v>46634</v>
      </c>
      <c r="O47" s="2">
        <f t="shared" si="115"/>
        <v>46635</v>
      </c>
      <c r="Q47" s="2">
        <f>W46+1</f>
        <v>46657</v>
      </c>
      <c r="R47" s="2">
        <f>Q47+1</f>
        <v>46658</v>
      </c>
      <c r="S47" s="2">
        <f t="shared" ref="S47:W47" si="116">R47+1</f>
        <v>46659</v>
      </c>
      <c r="T47" s="2">
        <f t="shared" si="116"/>
        <v>46660</v>
      </c>
      <c r="U47" s="2">
        <f t="shared" si="116"/>
        <v>46661</v>
      </c>
      <c r="V47" s="2">
        <f t="shared" si="116"/>
        <v>46662</v>
      </c>
      <c r="W47" s="2">
        <f t="shared" si="116"/>
        <v>46663</v>
      </c>
      <c r="Y47" s="2">
        <f>AE46+1</f>
        <v>46685</v>
      </c>
      <c r="Z47" s="2">
        <f>Y47+1</f>
        <v>46686</v>
      </c>
      <c r="AA47" s="2">
        <f t="shared" ref="AA47:AE47" si="117">Z47+1</f>
        <v>46687</v>
      </c>
      <c r="AB47" s="2">
        <f t="shared" si="117"/>
        <v>46688</v>
      </c>
      <c r="AC47" s="2">
        <f t="shared" si="117"/>
        <v>46689</v>
      </c>
      <c r="AD47" s="2">
        <f t="shared" si="117"/>
        <v>46690</v>
      </c>
      <c r="AE47" s="2">
        <f t="shared" si="117"/>
        <v>46691</v>
      </c>
      <c r="AG47" s="2">
        <f>AM46+1</f>
        <v>46720</v>
      </c>
      <c r="AH47" s="2">
        <f>AG47+1</f>
        <v>46721</v>
      </c>
      <c r="AI47" s="2">
        <f t="shared" ref="AI47:AM47" si="118">AH47+1</f>
        <v>46722</v>
      </c>
      <c r="AJ47" s="2">
        <f t="shared" si="118"/>
        <v>46723</v>
      </c>
      <c r="AK47" s="2">
        <f t="shared" si="118"/>
        <v>46724</v>
      </c>
      <c r="AL47" s="2">
        <f t="shared" si="118"/>
        <v>46725</v>
      </c>
      <c r="AM47" s="2">
        <f t="shared" si="118"/>
        <v>46726</v>
      </c>
      <c r="AO47" s="2">
        <f>AU46+1</f>
        <v>46748</v>
      </c>
      <c r="AP47" s="2">
        <f>AO47+1</f>
        <v>46749</v>
      </c>
      <c r="AQ47" s="2">
        <f t="shared" ref="AQ47:AU47" si="119">AP47+1</f>
        <v>46750</v>
      </c>
      <c r="AR47" s="2">
        <f t="shared" si="119"/>
        <v>46751</v>
      </c>
      <c r="AS47" s="2">
        <f t="shared" si="119"/>
        <v>46752</v>
      </c>
      <c r="AT47" s="2">
        <f t="shared" si="119"/>
        <v>46753</v>
      </c>
      <c r="AU47" s="2">
        <f t="shared" si="119"/>
        <v>46754</v>
      </c>
    </row>
  </sheetData>
  <mergeCells count="72">
    <mergeCell ref="W1:W2"/>
    <mergeCell ref="A1:A2"/>
    <mergeCell ref="B1:F2"/>
    <mergeCell ref="G1:G2"/>
    <mergeCell ref="I1:I2"/>
    <mergeCell ref="J1:N2"/>
    <mergeCell ref="O1:O2"/>
    <mergeCell ref="Q1:Q2"/>
    <mergeCell ref="R1:V2"/>
    <mergeCell ref="AO1:AO2"/>
    <mergeCell ref="AP1:AT2"/>
    <mergeCell ref="AU1:AU2"/>
    <mergeCell ref="A10:A11"/>
    <mergeCell ref="B10:F11"/>
    <mergeCell ref="G10:G11"/>
    <mergeCell ref="I10:I11"/>
    <mergeCell ref="J10:N11"/>
    <mergeCell ref="O10:O11"/>
    <mergeCell ref="Q10:Q11"/>
    <mergeCell ref="Y1:Y2"/>
    <mergeCell ref="Z1:AD2"/>
    <mergeCell ref="AE1:AE2"/>
    <mergeCell ref="AG1:AG2"/>
    <mergeCell ref="AH1:AL2"/>
    <mergeCell ref="AM1:AM2"/>
    <mergeCell ref="AU10:AU11"/>
    <mergeCell ref="A26:A27"/>
    <mergeCell ref="B26:F27"/>
    <mergeCell ref="G26:G27"/>
    <mergeCell ref="I26:I27"/>
    <mergeCell ref="J26:N27"/>
    <mergeCell ref="R10:V11"/>
    <mergeCell ref="W10:W11"/>
    <mergeCell ref="Y10:Y11"/>
    <mergeCell ref="Z10:AD11"/>
    <mergeCell ref="AE10:AE11"/>
    <mergeCell ref="AG10:AG11"/>
    <mergeCell ref="Z26:AD27"/>
    <mergeCell ref="AH10:AL11"/>
    <mergeCell ref="AM10:AM11"/>
    <mergeCell ref="AO10:AO11"/>
    <mergeCell ref="AP10:AT11"/>
    <mergeCell ref="O26:O27"/>
    <mergeCell ref="Q26:Q27"/>
    <mergeCell ref="R26:V27"/>
    <mergeCell ref="W26:W27"/>
    <mergeCell ref="Y26:Y27"/>
    <mergeCell ref="AU26:AU27"/>
    <mergeCell ref="A40:A41"/>
    <mergeCell ref="B40:F41"/>
    <mergeCell ref="G40:G41"/>
    <mergeCell ref="I40:I41"/>
    <mergeCell ref="J40:N41"/>
    <mergeCell ref="O40:O41"/>
    <mergeCell ref="Q40:Q41"/>
    <mergeCell ref="R40:V41"/>
    <mergeCell ref="W40:W41"/>
    <mergeCell ref="AE26:AE27"/>
    <mergeCell ref="AG26:AG27"/>
    <mergeCell ref="AH26:AL27"/>
    <mergeCell ref="AM26:AM27"/>
    <mergeCell ref="AO26:AO27"/>
    <mergeCell ref="AP26:AT27"/>
    <mergeCell ref="AO40:AO41"/>
    <mergeCell ref="AP40:AT41"/>
    <mergeCell ref="AU40:AU41"/>
    <mergeCell ref="Y40:Y41"/>
    <mergeCell ref="Z40:AD41"/>
    <mergeCell ref="AE40:AE41"/>
    <mergeCell ref="AG40:AG41"/>
    <mergeCell ref="AH40:AL41"/>
    <mergeCell ref="AM40:AM41"/>
  </mergeCells>
  <phoneticPr fontId="1" type="noConversion"/>
  <pageMargins left="0.7" right="0.7" top="0.75" bottom="0.75" header="0.3" footer="0.3"/>
  <pageSetup paperSize="9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CF5F-A2C7-42C3-8110-D5A1A6B80626}">
  <dimension ref="A3:C69"/>
  <sheetViews>
    <sheetView tabSelected="1" topLeftCell="A22" workbookViewId="0">
      <selection activeCell="E6" sqref="E6"/>
    </sheetView>
  </sheetViews>
  <sheetFormatPr defaultRowHeight="14.5" x14ac:dyDescent="0.35"/>
  <cols>
    <col min="1" max="1" width="4.7265625" bestFit="1" customWidth="1"/>
    <col min="2" max="2" width="46.1796875" bestFit="1" customWidth="1"/>
    <col min="3" max="3" width="34.54296875" style="47" bestFit="1" customWidth="1"/>
  </cols>
  <sheetData>
    <row r="3" spans="1:3" x14ac:dyDescent="0.35">
      <c r="A3" s="49" t="s">
        <v>38</v>
      </c>
      <c r="B3" s="49" t="s">
        <v>39</v>
      </c>
      <c r="C3" s="50" t="s">
        <v>40</v>
      </c>
    </row>
    <row r="4" spans="1:3" x14ac:dyDescent="0.35">
      <c r="A4" s="49" t="s">
        <v>41</v>
      </c>
      <c r="B4" s="49" t="s">
        <v>42</v>
      </c>
      <c r="C4" s="45"/>
    </row>
    <row r="5" spans="1:3" x14ac:dyDescent="0.35">
      <c r="A5" s="37">
        <v>1</v>
      </c>
      <c r="B5" s="37" t="s">
        <v>43</v>
      </c>
      <c r="C5" s="45" t="s">
        <v>44</v>
      </c>
    </row>
    <row r="6" spans="1:3" ht="14.5" customHeight="1" x14ac:dyDescent="0.35">
      <c r="A6" s="37">
        <v>2</v>
      </c>
      <c r="B6" s="38" t="s">
        <v>45</v>
      </c>
      <c r="C6" s="45" t="s">
        <v>46</v>
      </c>
    </row>
    <row r="7" spans="1:3" ht="14.5" customHeight="1" x14ac:dyDescent="0.35">
      <c r="A7" s="37">
        <v>3</v>
      </c>
      <c r="B7" s="38" t="s">
        <v>47</v>
      </c>
      <c r="C7" s="45" t="s">
        <v>48</v>
      </c>
    </row>
    <row r="8" spans="1:3" x14ac:dyDescent="0.35">
      <c r="A8" s="49" t="s">
        <v>49</v>
      </c>
      <c r="B8" s="49" t="s">
        <v>50</v>
      </c>
      <c r="C8" s="45"/>
    </row>
    <row r="9" spans="1:3" ht="14.5" customHeight="1" x14ac:dyDescent="0.35">
      <c r="A9" s="37">
        <v>1</v>
      </c>
      <c r="B9" s="38" t="s">
        <v>51</v>
      </c>
      <c r="C9" s="45" t="s">
        <v>52</v>
      </c>
    </row>
    <row r="10" spans="1:3" ht="14.5" customHeight="1" x14ac:dyDescent="0.35">
      <c r="A10" s="37">
        <v>2</v>
      </c>
      <c r="B10" s="38" t="s">
        <v>53</v>
      </c>
      <c r="C10" s="45" t="s">
        <v>54</v>
      </c>
    </row>
    <row r="11" spans="1:3" x14ac:dyDescent="0.35">
      <c r="A11" s="37">
        <v>3</v>
      </c>
      <c r="B11" s="37" t="s">
        <v>55</v>
      </c>
      <c r="C11" s="45" t="s">
        <v>56</v>
      </c>
    </row>
    <row r="12" spans="1:3" x14ac:dyDescent="0.35">
      <c r="A12" s="37">
        <v>4</v>
      </c>
      <c r="B12" s="37" t="s">
        <v>57</v>
      </c>
      <c r="C12" s="45" t="s">
        <v>54</v>
      </c>
    </row>
    <row r="13" spans="1:3" x14ac:dyDescent="0.35">
      <c r="A13" s="37">
        <v>5</v>
      </c>
      <c r="B13" s="37" t="s">
        <v>58</v>
      </c>
      <c r="C13" s="45" t="s">
        <v>54</v>
      </c>
    </row>
    <row r="14" spans="1:3" x14ac:dyDescent="0.35">
      <c r="A14" s="37">
        <v>6</v>
      </c>
      <c r="B14" s="37" t="s">
        <v>59</v>
      </c>
      <c r="C14" s="45" t="s">
        <v>60</v>
      </c>
    </row>
    <row r="15" spans="1:3" ht="14.5" customHeight="1" x14ac:dyDescent="0.35">
      <c r="A15" s="37">
        <v>7</v>
      </c>
      <c r="B15" s="38" t="s">
        <v>61</v>
      </c>
      <c r="C15" s="45" t="s">
        <v>62</v>
      </c>
    </row>
    <row r="16" spans="1:3" x14ac:dyDescent="0.35">
      <c r="A16" s="37">
        <v>8</v>
      </c>
      <c r="B16" s="37" t="s">
        <v>63</v>
      </c>
      <c r="C16" s="45" t="s">
        <v>64</v>
      </c>
    </row>
    <row r="17" spans="1:3" ht="14.5" customHeight="1" x14ac:dyDescent="0.35">
      <c r="A17" s="37">
        <v>9</v>
      </c>
      <c r="B17" s="38" t="s">
        <v>65</v>
      </c>
      <c r="C17" s="45" t="s">
        <v>64</v>
      </c>
    </row>
    <row r="18" spans="1:3" x14ac:dyDescent="0.35">
      <c r="A18" s="37">
        <v>10</v>
      </c>
      <c r="B18" s="37" t="s">
        <v>66</v>
      </c>
      <c r="C18" s="45" t="s">
        <v>56</v>
      </c>
    </row>
    <row r="19" spans="1:3" x14ac:dyDescent="0.35">
      <c r="A19" s="37">
        <v>11</v>
      </c>
      <c r="B19" s="37" t="s">
        <v>171</v>
      </c>
      <c r="C19" s="45" t="s">
        <v>173</v>
      </c>
    </row>
    <row r="20" spans="1:3" x14ac:dyDescent="0.35">
      <c r="A20" s="37">
        <v>12</v>
      </c>
      <c r="B20" s="37" t="s">
        <v>172</v>
      </c>
      <c r="C20" s="45" t="s">
        <v>173</v>
      </c>
    </row>
    <row r="21" spans="1:3" x14ac:dyDescent="0.35">
      <c r="A21" s="37">
        <v>13</v>
      </c>
      <c r="B21" s="37" t="s">
        <v>67</v>
      </c>
      <c r="C21" s="45" t="s">
        <v>68</v>
      </c>
    </row>
    <row r="22" spans="1:3" x14ac:dyDescent="0.35">
      <c r="A22" s="37">
        <v>14</v>
      </c>
      <c r="B22" s="37" t="s">
        <v>176</v>
      </c>
      <c r="C22" s="45" t="s">
        <v>174</v>
      </c>
    </row>
    <row r="23" spans="1:3" x14ac:dyDescent="0.35">
      <c r="A23" s="37">
        <v>15</v>
      </c>
      <c r="B23" s="37" t="s">
        <v>175</v>
      </c>
      <c r="C23" s="45" t="s">
        <v>177</v>
      </c>
    </row>
    <row r="24" spans="1:3" x14ac:dyDescent="0.35">
      <c r="A24" s="37">
        <v>16</v>
      </c>
      <c r="B24" s="37" t="s">
        <v>206</v>
      </c>
      <c r="C24" s="45" t="s">
        <v>207</v>
      </c>
    </row>
    <row r="25" spans="1:3" x14ac:dyDescent="0.35">
      <c r="A25" s="37">
        <v>17</v>
      </c>
      <c r="B25" s="37" t="s">
        <v>178</v>
      </c>
      <c r="C25" s="45" t="s">
        <v>179</v>
      </c>
    </row>
    <row r="26" spans="1:3" x14ac:dyDescent="0.35">
      <c r="A26" s="37">
        <v>18</v>
      </c>
      <c r="B26" s="37" t="s">
        <v>69</v>
      </c>
      <c r="C26" s="45" t="s">
        <v>180</v>
      </c>
    </row>
    <row r="27" spans="1:3" x14ac:dyDescent="0.35">
      <c r="A27" s="37">
        <v>19</v>
      </c>
      <c r="B27" s="37" t="s">
        <v>70</v>
      </c>
      <c r="C27" s="45" t="s">
        <v>71</v>
      </c>
    </row>
    <row r="28" spans="1:3" x14ac:dyDescent="0.35">
      <c r="A28" s="37">
        <v>20</v>
      </c>
      <c r="B28" s="37" t="s">
        <v>72</v>
      </c>
      <c r="C28" s="45" t="s">
        <v>73</v>
      </c>
    </row>
    <row r="29" spans="1:3" x14ac:dyDescent="0.35">
      <c r="A29" s="37">
        <v>21</v>
      </c>
      <c r="B29" s="37" t="s">
        <v>181</v>
      </c>
      <c r="C29" s="45" t="s">
        <v>182</v>
      </c>
    </row>
    <row r="30" spans="1:3" x14ac:dyDescent="0.35">
      <c r="A30" s="37">
        <v>22</v>
      </c>
      <c r="B30" s="37" t="s">
        <v>188</v>
      </c>
      <c r="C30" s="45" t="s">
        <v>185</v>
      </c>
    </row>
    <row r="31" spans="1:3" x14ac:dyDescent="0.35">
      <c r="A31" s="37">
        <v>23</v>
      </c>
      <c r="B31" s="37" t="s">
        <v>187</v>
      </c>
      <c r="C31" s="45" t="s">
        <v>186</v>
      </c>
    </row>
    <row r="32" spans="1:3" x14ac:dyDescent="0.35">
      <c r="A32" s="37">
        <v>24</v>
      </c>
      <c r="B32" s="37" t="s">
        <v>74</v>
      </c>
      <c r="C32" s="45" t="s">
        <v>75</v>
      </c>
    </row>
    <row r="33" spans="1:3" x14ac:dyDescent="0.35">
      <c r="A33" s="37">
        <v>25</v>
      </c>
      <c r="B33" s="37" t="s">
        <v>183</v>
      </c>
      <c r="C33" s="45" t="s">
        <v>184</v>
      </c>
    </row>
    <row r="34" spans="1:3" x14ac:dyDescent="0.35">
      <c r="A34" s="37">
        <v>26</v>
      </c>
      <c r="B34" s="48" t="s">
        <v>189</v>
      </c>
      <c r="C34" s="47" t="s">
        <v>190</v>
      </c>
    </row>
    <row r="35" spans="1:3" x14ac:dyDescent="0.35">
      <c r="A35" s="37">
        <v>27</v>
      </c>
      <c r="B35" s="37" t="s">
        <v>76</v>
      </c>
      <c r="C35" s="45" t="s">
        <v>77</v>
      </c>
    </row>
    <row r="36" spans="1:3" x14ac:dyDescent="0.35">
      <c r="A36" s="37">
        <v>28</v>
      </c>
      <c r="B36" s="37" t="s">
        <v>78</v>
      </c>
      <c r="C36" s="45" t="s">
        <v>79</v>
      </c>
    </row>
    <row r="37" spans="1:3" ht="14.5" customHeight="1" x14ac:dyDescent="0.35">
      <c r="A37" s="37">
        <v>29</v>
      </c>
      <c r="B37" s="37" t="s">
        <v>192</v>
      </c>
      <c r="C37" s="46" t="s">
        <v>191</v>
      </c>
    </row>
    <row r="38" spans="1:3" x14ac:dyDescent="0.35">
      <c r="A38" s="37">
        <v>30</v>
      </c>
      <c r="B38" s="37" t="s">
        <v>80</v>
      </c>
      <c r="C38" s="45" t="s">
        <v>81</v>
      </c>
    </row>
    <row r="39" spans="1:3" x14ac:dyDescent="0.35">
      <c r="A39" s="37">
        <v>31</v>
      </c>
      <c r="B39" s="37" t="s">
        <v>193</v>
      </c>
      <c r="C39" s="45" t="s">
        <v>194</v>
      </c>
    </row>
    <row r="40" spans="1:3" x14ac:dyDescent="0.35">
      <c r="A40" s="37">
        <v>32</v>
      </c>
      <c r="B40" s="37" t="s">
        <v>195</v>
      </c>
      <c r="C40" s="45" t="s">
        <v>196</v>
      </c>
    </row>
    <row r="41" spans="1:3" x14ac:dyDescent="0.35">
      <c r="A41" s="37">
        <v>33</v>
      </c>
      <c r="B41" s="37" t="s">
        <v>82</v>
      </c>
      <c r="C41" s="45" t="s">
        <v>83</v>
      </c>
    </row>
    <row r="42" spans="1:3" x14ac:dyDescent="0.35">
      <c r="A42" s="37">
        <v>34</v>
      </c>
      <c r="B42" s="37" t="s">
        <v>84</v>
      </c>
      <c r="C42" s="45" t="s">
        <v>85</v>
      </c>
    </row>
    <row r="43" spans="1:3" x14ac:dyDescent="0.35">
      <c r="A43" s="49" t="s">
        <v>86</v>
      </c>
      <c r="B43" s="49" t="s">
        <v>87</v>
      </c>
      <c r="C43" s="45"/>
    </row>
    <row r="44" spans="1:3" ht="14.5" customHeight="1" x14ac:dyDescent="0.35">
      <c r="A44" s="37">
        <v>1</v>
      </c>
      <c r="B44" s="39" t="s">
        <v>88</v>
      </c>
      <c r="C44" s="45" t="s">
        <v>89</v>
      </c>
    </row>
    <row r="45" spans="1:3" x14ac:dyDescent="0.35">
      <c r="A45" s="37">
        <v>2</v>
      </c>
      <c r="B45" s="37" t="s">
        <v>90</v>
      </c>
      <c r="C45" s="45" t="s">
        <v>91</v>
      </c>
    </row>
    <row r="46" spans="1:3" x14ac:dyDescent="0.35">
      <c r="A46" s="37">
        <v>3</v>
      </c>
      <c r="B46" s="37" t="s">
        <v>92</v>
      </c>
      <c r="C46" s="45" t="s">
        <v>91</v>
      </c>
    </row>
    <row r="47" spans="1:3" x14ac:dyDescent="0.35">
      <c r="A47" s="37">
        <v>4</v>
      </c>
      <c r="B47" s="37" t="s">
        <v>197</v>
      </c>
      <c r="C47" s="45" t="s">
        <v>198</v>
      </c>
    </row>
    <row r="48" spans="1:3" x14ac:dyDescent="0.35">
      <c r="A48" s="37">
        <v>5</v>
      </c>
      <c r="B48" s="37" t="s">
        <v>199</v>
      </c>
      <c r="C48" s="45" t="s">
        <v>93</v>
      </c>
    </row>
    <row r="49" spans="1:3" ht="14.5" customHeight="1" x14ac:dyDescent="0.35">
      <c r="A49" s="37">
        <v>6</v>
      </c>
      <c r="B49" s="38" t="s">
        <v>200</v>
      </c>
      <c r="C49" s="45" t="s">
        <v>94</v>
      </c>
    </row>
    <row r="50" spans="1:3" x14ac:dyDescent="0.35">
      <c r="A50" s="37">
        <v>7</v>
      </c>
      <c r="B50" s="37" t="s">
        <v>95</v>
      </c>
      <c r="C50" s="45" t="s">
        <v>96</v>
      </c>
    </row>
    <row r="51" spans="1:3" ht="14.5" customHeight="1" x14ac:dyDescent="0.35">
      <c r="A51" s="37">
        <v>8</v>
      </c>
      <c r="B51" s="38" t="s">
        <v>65</v>
      </c>
      <c r="C51" s="45" t="s">
        <v>96</v>
      </c>
    </row>
    <row r="52" spans="1:3" ht="14.5" customHeight="1" x14ac:dyDescent="0.35">
      <c r="A52" s="37">
        <v>9</v>
      </c>
      <c r="B52" s="38" t="s">
        <v>201</v>
      </c>
      <c r="C52" s="45" t="s">
        <v>203</v>
      </c>
    </row>
    <row r="53" spans="1:3" ht="14.5" customHeight="1" x14ac:dyDescent="0.35">
      <c r="A53" s="37">
        <v>10</v>
      </c>
      <c r="B53" s="38" t="s">
        <v>204</v>
      </c>
      <c r="C53" s="45" t="s">
        <v>205</v>
      </c>
    </row>
    <row r="54" spans="1:3" x14ac:dyDescent="0.35">
      <c r="A54" s="37">
        <v>11</v>
      </c>
      <c r="B54" s="37" t="s">
        <v>97</v>
      </c>
      <c r="C54" s="45" t="s">
        <v>98</v>
      </c>
    </row>
    <row r="55" spans="1:3" x14ac:dyDescent="0.35">
      <c r="A55" s="37">
        <v>12</v>
      </c>
      <c r="B55" s="37" t="s">
        <v>99</v>
      </c>
      <c r="C55" s="45" t="s">
        <v>100</v>
      </c>
    </row>
    <row r="56" spans="1:3" ht="14.5" customHeight="1" x14ac:dyDescent="0.35">
      <c r="A56" s="37">
        <v>13</v>
      </c>
      <c r="B56" s="38" t="s">
        <v>101</v>
      </c>
      <c r="C56" s="45" t="s">
        <v>102</v>
      </c>
    </row>
    <row r="57" spans="1:3" x14ac:dyDescent="0.35">
      <c r="A57" s="37">
        <v>14</v>
      </c>
      <c r="B57" s="37" t="s">
        <v>103</v>
      </c>
      <c r="C57" s="45" t="s">
        <v>104</v>
      </c>
    </row>
    <row r="58" spans="1:3" x14ac:dyDescent="0.35">
      <c r="A58" s="37">
        <v>15</v>
      </c>
      <c r="B58" s="37" t="s">
        <v>67</v>
      </c>
      <c r="C58" s="45" t="s">
        <v>105</v>
      </c>
    </row>
    <row r="59" spans="1:3" x14ac:dyDescent="0.35">
      <c r="A59" s="37">
        <v>16</v>
      </c>
      <c r="B59" s="37" t="s">
        <v>106</v>
      </c>
      <c r="C59" s="45" t="s">
        <v>107</v>
      </c>
    </row>
    <row r="60" spans="1:3" x14ac:dyDescent="0.35">
      <c r="A60" s="37">
        <v>17</v>
      </c>
      <c r="B60" s="48" t="s">
        <v>211</v>
      </c>
      <c r="C60" s="47" t="s">
        <v>212</v>
      </c>
    </row>
    <row r="61" spans="1:3" x14ac:dyDescent="0.35">
      <c r="A61" s="37">
        <v>18</v>
      </c>
      <c r="B61" s="37" t="s">
        <v>206</v>
      </c>
      <c r="C61" s="45" t="s">
        <v>210</v>
      </c>
    </row>
    <row r="62" spans="1:3" x14ac:dyDescent="0.35">
      <c r="A62" s="37">
        <v>19</v>
      </c>
      <c r="B62" s="37" t="s">
        <v>108</v>
      </c>
      <c r="C62" s="45" t="s">
        <v>109</v>
      </c>
    </row>
    <row r="63" spans="1:3" x14ac:dyDescent="0.35">
      <c r="A63" s="37">
        <v>20</v>
      </c>
      <c r="B63" s="37" t="s">
        <v>72</v>
      </c>
      <c r="C63" s="45" t="s">
        <v>110</v>
      </c>
    </row>
    <row r="64" spans="1:3" x14ac:dyDescent="0.35">
      <c r="A64" s="37">
        <v>21</v>
      </c>
      <c r="B64" s="37" t="s">
        <v>111</v>
      </c>
      <c r="C64" s="45" t="s">
        <v>112</v>
      </c>
    </row>
    <row r="65" spans="1:3" x14ac:dyDescent="0.35">
      <c r="A65" s="37">
        <v>22</v>
      </c>
      <c r="B65" s="37" t="s">
        <v>189</v>
      </c>
      <c r="C65" s="45" t="s">
        <v>213</v>
      </c>
    </row>
    <row r="66" spans="1:3" x14ac:dyDescent="0.35">
      <c r="A66" s="37">
        <v>23</v>
      </c>
      <c r="B66" s="37" t="s">
        <v>78</v>
      </c>
      <c r="C66" s="45" t="s">
        <v>113</v>
      </c>
    </row>
    <row r="67" spans="1:3" x14ac:dyDescent="0.35">
      <c r="A67" s="37">
        <v>24</v>
      </c>
      <c r="B67" s="37" t="s">
        <v>114</v>
      </c>
      <c r="C67" s="45" t="s">
        <v>115</v>
      </c>
    </row>
    <row r="68" spans="1:3" x14ac:dyDescent="0.35">
      <c r="A68" s="37">
        <v>25</v>
      </c>
      <c r="B68" s="37" t="s">
        <v>116</v>
      </c>
      <c r="C68" s="45" t="s">
        <v>117</v>
      </c>
    </row>
    <row r="69" spans="1:3" x14ac:dyDescent="0.35">
      <c r="A69" s="37">
        <v>26</v>
      </c>
      <c r="B69" s="37" t="s">
        <v>118</v>
      </c>
      <c r="C69" s="45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EFFD5-284E-45EA-A549-B13DED889E2E}">
  <dimension ref="A2:E23"/>
  <sheetViews>
    <sheetView workbookViewId="0">
      <selection activeCell="I10" sqref="I10"/>
    </sheetView>
  </sheetViews>
  <sheetFormatPr defaultRowHeight="14.5" x14ac:dyDescent="0.35"/>
  <cols>
    <col min="5" max="5" width="36.453125" bestFit="1" customWidth="1"/>
  </cols>
  <sheetData>
    <row r="2" spans="1:5" x14ac:dyDescent="0.35">
      <c r="A2" s="37" t="s">
        <v>120</v>
      </c>
      <c r="B2" s="37" t="s">
        <v>121</v>
      </c>
      <c r="C2" s="37"/>
      <c r="D2" s="37" t="s">
        <v>122</v>
      </c>
      <c r="E2" s="37" t="s">
        <v>123</v>
      </c>
    </row>
    <row r="3" spans="1:5" x14ac:dyDescent="0.35">
      <c r="A3" s="37">
        <v>1</v>
      </c>
      <c r="B3" s="37" t="s">
        <v>124</v>
      </c>
      <c r="C3" s="37"/>
      <c r="D3" s="37" t="s">
        <v>2</v>
      </c>
      <c r="E3" s="37" t="s">
        <v>125</v>
      </c>
    </row>
    <row r="4" spans="1:5" ht="14.5" customHeight="1" x14ac:dyDescent="0.35">
      <c r="A4" s="37">
        <v>2</v>
      </c>
      <c r="B4" s="37" t="s">
        <v>126</v>
      </c>
      <c r="C4" s="37"/>
      <c r="D4" s="37" t="s">
        <v>1</v>
      </c>
      <c r="E4" s="38" t="s">
        <v>127</v>
      </c>
    </row>
    <row r="5" spans="1:5" x14ac:dyDescent="0.35">
      <c r="A5" s="37">
        <v>3</v>
      </c>
      <c r="B5" s="37" t="s">
        <v>128</v>
      </c>
      <c r="C5" s="37"/>
      <c r="D5" s="37" t="s">
        <v>2</v>
      </c>
      <c r="E5" s="37" t="s">
        <v>129</v>
      </c>
    </row>
    <row r="6" spans="1:5" x14ac:dyDescent="0.35">
      <c r="A6" s="37">
        <v>4</v>
      </c>
      <c r="B6" s="37" t="s">
        <v>130</v>
      </c>
      <c r="C6" s="37"/>
      <c r="D6" s="37" t="s">
        <v>4</v>
      </c>
      <c r="E6" s="37" t="s">
        <v>131</v>
      </c>
    </row>
    <row r="7" spans="1:5" x14ac:dyDescent="0.35">
      <c r="A7" s="37">
        <v>5</v>
      </c>
      <c r="B7" s="37" t="s">
        <v>132</v>
      </c>
      <c r="C7" s="37"/>
      <c r="D7" s="37" t="s">
        <v>133</v>
      </c>
      <c r="E7" s="37" t="s">
        <v>134</v>
      </c>
    </row>
    <row r="8" spans="1:5" x14ac:dyDescent="0.35">
      <c r="A8" s="37">
        <v>6</v>
      </c>
      <c r="B8" s="37" t="s">
        <v>85</v>
      </c>
      <c r="C8" s="37"/>
      <c r="D8" s="37" t="s">
        <v>133</v>
      </c>
      <c r="E8" s="37" t="s">
        <v>135</v>
      </c>
    </row>
    <row r="9" spans="1:5" x14ac:dyDescent="0.35">
      <c r="A9" s="37">
        <v>7</v>
      </c>
      <c r="B9" s="37" t="s">
        <v>136</v>
      </c>
      <c r="C9" s="37"/>
      <c r="D9" s="37" t="s">
        <v>2</v>
      </c>
      <c r="E9" s="37" t="s">
        <v>137</v>
      </c>
    </row>
    <row r="10" spans="1:5" x14ac:dyDescent="0.35">
      <c r="A10" s="37">
        <v>8</v>
      </c>
      <c r="B10" s="37" t="s">
        <v>138</v>
      </c>
      <c r="C10" s="37"/>
      <c r="D10" s="37" t="s">
        <v>6</v>
      </c>
      <c r="E10" s="37" t="s">
        <v>139</v>
      </c>
    </row>
    <row r="11" spans="1:5" x14ac:dyDescent="0.35">
      <c r="A11" s="37">
        <v>9</v>
      </c>
      <c r="B11" s="37" t="s">
        <v>140</v>
      </c>
      <c r="C11" s="37"/>
      <c r="D11" s="37" t="s">
        <v>2</v>
      </c>
      <c r="E11" s="37" t="s">
        <v>141</v>
      </c>
    </row>
    <row r="12" spans="1:5" x14ac:dyDescent="0.35">
      <c r="A12" s="37">
        <v>10</v>
      </c>
      <c r="B12" s="37" t="s">
        <v>142</v>
      </c>
      <c r="C12" s="37"/>
      <c r="D12" s="37" t="s">
        <v>3</v>
      </c>
      <c r="E12" s="37" t="s">
        <v>143</v>
      </c>
    </row>
    <row r="13" spans="1:5" ht="14.5" customHeight="1" x14ac:dyDescent="0.35">
      <c r="A13" s="37">
        <v>11</v>
      </c>
      <c r="B13" s="37" t="s">
        <v>144</v>
      </c>
      <c r="C13" s="37"/>
      <c r="D13" s="37" t="s">
        <v>4</v>
      </c>
      <c r="E13" s="38" t="s">
        <v>145</v>
      </c>
    </row>
    <row r="14" spans="1:5" x14ac:dyDescent="0.35">
      <c r="A14" s="37">
        <v>12</v>
      </c>
      <c r="B14" s="37" t="s">
        <v>146</v>
      </c>
      <c r="C14" s="37"/>
      <c r="D14" s="37" t="s">
        <v>133</v>
      </c>
      <c r="E14" s="37" t="s">
        <v>147</v>
      </c>
    </row>
    <row r="15" spans="1:5" x14ac:dyDescent="0.35">
      <c r="A15" s="37">
        <v>13</v>
      </c>
      <c r="B15" s="37" t="s">
        <v>148</v>
      </c>
      <c r="C15" s="37"/>
      <c r="D15" s="37" t="s">
        <v>6</v>
      </c>
      <c r="E15" s="37" t="s">
        <v>149</v>
      </c>
    </row>
    <row r="16" spans="1:5" x14ac:dyDescent="0.35">
      <c r="A16" s="37">
        <v>14</v>
      </c>
      <c r="B16" s="37" t="s">
        <v>150</v>
      </c>
      <c r="C16" s="37"/>
      <c r="D16" s="37" t="s">
        <v>4</v>
      </c>
      <c r="E16" s="37" t="s">
        <v>151</v>
      </c>
    </row>
    <row r="17" spans="1:5" x14ac:dyDescent="0.35">
      <c r="A17" s="37">
        <v>15</v>
      </c>
      <c r="B17" s="37" t="s">
        <v>152</v>
      </c>
      <c r="C17" s="37"/>
      <c r="D17" s="37" t="s">
        <v>1</v>
      </c>
      <c r="E17" s="37" t="s">
        <v>153</v>
      </c>
    </row>
    <row r="18" spans="1:5" x14ac:dyDescent="0.35">
      <c r="A18" s="37">
        <v>16</v>
      </c>
      <c r="B18" s="37" t="s">
        <v>154</v>
      </c>
      <c r="C18" s="37"/>
      <c r="D18" s="37" t="s">
        <v>4</v>
      </c>
      <c r="E18" s="37" t="s">
        <v>155</v>
      </c>
    </row>
    <row r="19" spans="1:5" x14ac:dyDescent="0.35">
      <c r="A19" s="37">
        <v>17</v>
      </c>
      <c r="B19" s="37" t="s">
        <v>156</v>
      </c>
      <c r="C19" s="37"/>
      <c r="D19" s="37" t="s">
        <v>2</v>
      </c>
      <c r="E19" s="37" t="s">
        <v>157</v>
      </c>
    </row>
    <row r="20" spans="1:5" x14ac:dyDescent="0.35">
      <c r="A20" s="37">
        <v>18</v>
      </c>
      <c r="B20" s="37" t="s">
        <v>158</v>
      </c>
      <c r="C20" s="37"/>
      <c r="D20" s="37" t="s">
        <v>159</v>
      </c>
      <c r="E20" s="37" t="s">
        <v>160</v>
      </c>
    </row>
    <row r="21" spans="1:5" x14ac:dyDescent="0.35">
      <c r="A21" s="37">
        <v>19</v>
      </c>
      <c r="B21" s="37" t="s">
        <v>161</v>
      </c>
      <c r="C21" s="37"/>
      <c r="D21" s="37" t="s">
        <v>159</v>
      </c>
      <c r="E21" s="37" t="s">
        <v>129</v>
      </c>
    </row>
    <row r="22" spans="1:5" ht="14.5" customHeight="1" x14ac:dyDescent="0.35">
      <c r="A22" s="37">
        <v>20</v>
      </c>
      <c r="B22" s="37" t="s">
        <v>162</v>
      </c>
      <c r="C22" s="37"/>
      <c r="D22" s="37" t="s">
        <v>2</v>
      </c>
      <c r="E22" s="38" t="s">
        <v>127</v>
      </c>
    </row>
    <row r="23" spans="1:5" x14ac:dyDescent="0.35">
      <c r="A23" s="37">
        <v>21</v>
      </c>
      <c r="B23" s="37" t="s">
        <v>163</v>
      </c>
      <c r="C23" s="37"/>
      <c r="D23" s="37" t="s">
        <v>6</v>
      </c>
      <c r="E23" s="37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Gambar</vt:lpstr>
      <vt:lpstr>Kegiatan</vt:lpstr>
      <vt:lpstr>Hari Libur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desty triyas</dc:creator>
  <cp:lastModifiedBy>desty triyas</cp:lastModifiedBy>
  <cp:lastPrinted>2026-08-31T06:52:35Z</cp:lastPrinted>
  <dcterms:created xsi:type="dcterms:W3CDTF">2026-07-16T04:11:58Z</dcterms:created>
  <dcterms:modified xsi:type="dcterms:W3CDTF">2026-08-31T07:14:27Z</dcterms:modified>
</cp:coreProperties>
</file>